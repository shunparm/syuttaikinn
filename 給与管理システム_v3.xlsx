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1" activeTab="1" autoFilterDateGrouping="1"/>
  </bookViews>
  <sheets>
    <sheet name="📋使い方ガイド" sheetId="1" state="visible" r:id="rId1"/>
    <sheet name="📊計算ロジック説明" sheetId="2" state="visible" r:id="rId2"/>
    <sheet name="従業員マスタ" sheetId="3" state="visible" r:id="rId3"/>
    <sheet name="現場マスタ" sheetId="4" state="visible" r:id="rId4"/>
    <sheet name="出退勤入力" sheetId="5" state="visible" r:id="rId5"/>
    <sheet name="月次集計" sheetId="6" state="visible" r:id="rId6"/>
    <sheet name="給与計算" sheetId="7" state="visible" r:id="rId7"/>
    <sheet name="出勤簿（印刷用）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yyyy&quot;年&quot;mm&quot;月&quot;"/>
    <numFmt numFmtId="166" formatCode="0.0"/>
  </numFmts>
  <fonts count="51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6"/>
    </font>
    <font>
      <name val="Noto Sans CJK SC"/>
      <family val="2"/>
      <b val="1"/>
      <color rgb="FFC55A11"/>
      <sz val="10"/>
    </font>
    <font>
      <name val="Noto Sans CJK SC"/>
      <family val="2"/>
      <b val="1"/>
      <color rgb="FF1F3864"/>
      <sz val="13"/>
    </font>
    <font>
      <name val="Noto Sans CJK SC"/>
      <family val="2"/>
      <b val="1"/>
      <color rgb="FF2F5496"/>
      <sz val="11"/>
    </font>
    <font>
      <name val="Noto Sans CJK SC"/>
      <family val="2"/>
      <color rgb="FF000000"/>
      <sz val="10"/>
    </font>
    <font>
      <name val="Meiryo UI"/>
      <charset val="128"/>
      <family val="3"/>
      <color rgb="FF000000"/>
      <sz val="10"/>
    </font>
    <font>
      <name val="Noto Sans CJK SC"/>
      <family val="2"/>
      <b val="1"/>
      <color rgb="FF375623"/>
      <sz val="11"/>
    </font>
    <font>
      <name val="Meiryo UI"/>
      <charset val="128"/>
      <family val="3"/>
      <b val="1"/>
      <color rgb="FFC55A11"/>
      <sz val="11"/>
    </font>
    <font>
      <name val="Noto Sans CJK SC"/>
      <family val="2"/>
      <b val="1"/>
      <color rgb="FFC00000"/>
      <sz val="13"/>
    </font>
    <font>
      <name val="Noto Sans CJK SC"/>
      <family val="2"/>
      <color rgb="FFC00000"/>
      <sz val="10"/>
    </font>
    <font>
      <name val="Meiryo UI"/>
      <charset val="128"/>
      <family val="3"/>
      <color rgb="FFC00000"/>
      <sz val="10"/>
    </font>
    <font>
      <name val="Noto Sans CJK SC"/>
      <family val="2"/>
      <color rgb="FF375623"/>
      <sz val="10"/>
    </font>
    <font>
      <name val="Noto Sans CJK SC"/>
      <family val="2"/>
      <b val="1"/>
      <color rgb="FFFFFFFF"/>
      <sz val="14"/>
    </font>
    <font>
      <name val="Noto Sans CJK SC"/>
      <family val="2"/>
      <b val="1"/>
      <color rgb="FFFFFFFF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sz val="10"/>
    </font>
    <font>
      <name val="Noto Sans CJK SC"/>
      <family val="2"/>
      <sz val="10"/>
    </font>
    <font>
      <name val="Noto Sans CJK SC"/>
      <family val="2"/>
      <b val="1"/>
      <color rgb="FFFFFFFF"/>
      <sz val="13"/>
    </font>
    <font>
      <name val="Meiryo UI"/>
      <charset val="128"/>
      <family val="3"/>
      <b val="1"/>
      <color rgb="FFFFFFFF"/>
      <sz val="13"/>
    </font>
    <font>
      <name val="Noto Sans CJK SC"/>
      <family val="2"/>
      <b val="1"/>
      <color rgb="FF000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C55A11"/>
      <sz val="12"/>
    </font>
    <font>
      <name val="Meiryo UI"/>
      <charset val="128"/>
      <family val="3"/>
      <b val="1"/>
      <color rgb="FF2F5496"/>
      <sz val="12"/>
    </font>
    <font>
      <name val="Meiryo UI"/>
      <charset val="128"/>
      <family val="3"/>
      <b val="1"/>
      <color rgb="FFC00000"/>
      <sz val="10"/>
    </font>
    <font>
      <name val="Noto Sans CJK SC"/>
      <family val="2"/>
      <b val="1"/>
      <color rgb="FFC00000"/>
      <sz val="10"/>
    </font>
    <font>
      <name val="Noto Sans CJK SC"/>
      <family val="2"/>
      <b val="1"/>
      <color rgb="FFFFFFFF"/>
      <sz val="11"/>
    </font>
    <font>
      <name val="Noto Sans CJK SC"/>
      <family val="2"/>
      <b val="1"/>
      <color rgb="FF1F3864"/>
      <sz val="12"/>
    </font>
    <font>
      <name val="Meiryo UI"/>
      <charset val="128"/>
      <family val="3"/>
      <b val="1"/>
      <sz val="9"/>
    </font>
    <font>
      <name val="Noto Sans CJK SC"/>
      <family val="2"/>
      <b val="1"/>
      <color rgb="FFFFFFFF"/>
      <sz val="9"/>
    </font>
    <font>
      <name val="Noto Sans CJK SC"/>
      <family val="2"/>
      <b val="1"/>
      <color rgb="FF000000"/>
      <sz val="9"/>
    </font>
    <font>
      <name val="Meiryo UI"/>
      <charset val="128"/>
      <family val="3"/>
      <sz val="8"/>
    </font>
    <font>
      <name val="Noto Sans CJK SC"/>
      <family val="2"/>
      <sz val="9"/>
    </font>
    <font>
      <name val="Meiryo UI"/>
      <charset val="128"/>
      <family val="3"/>
      <b val="1"/>
      <sz val="10"/>
    </font>
    <font>
      <name val="ＭＳ Ｐゴシック"/>
      <charset val="128"/>
      <family val="3"/>
      <sz val="6"/>
    </font>
    <font>
      <name val="ＭＳ ゴシック"/>
      <charset val="128"/>
      <family val="3"/>
      <sz val="10"/>
    </font>
    <font>
      <b val="1"/>
      <sz val="11"/>
    </font>
    <font>
      <b val="1"/>
      <color rgb="FF006100"/>
      <sz val="9"/>
    </font>
    <font>
      <color rgb="FFFF0000"/>
      <sz val="8"/>
    </font>
    <font>
      <b val="1"/>
    </font>
    <font>
      <b val="1"/>
      <color rgb="FF000000"/>
      <sz val="9"/>
    </font>
    <font>
      <b val="1"/>
      <color rgb="FF7F0000"/>
      <sz val="9"/>
    </font>
    <font>
      <b val="1"/>
      <color rgb="FFFFFFFF"/>
      <sz val="14"/>
    </font>
    <font>
      <b val="1"/>
      <color rgb="FF7F0000"/>
      <sz val="10"/>
    </font>
    <font>
      <b val="1"/>
      <color rgb="FFFFFFFF"/>
      <sz val="12"/>
    </font>
    <font>
      <b val="1"/>
      <color rgb="FFFFFFFF"/>
      <sz val="10"/>
    </font>
    <font>
      <b val="1"/>
      <color rgb="FF000000"/>
      <sz val="10"/>
    </font>
    <font>
      <color rgb="FF000000"/>
      <sz val="9"/>
    </font>
    <font>
      <color rgb="FF7F0000"/>
      <sz val="9"/>
    </font>
    <font>
      <b val="1"/>
      <color rgb="FF1F4E79"/>
      <sz val="9"/>
    </font>
    <font>
      <b val="1"/>
      <color rgb="FFFFFFFF"/>
      <sz val="13"/>
    </font>
  </fonts>
  <fills count="21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FF2CC"/>
        <bgColor rgb="FFFFFFC0"/>
      </patternFill>
    </fill>
    <fill>
      <patternFill patternType="solid">
        <fgColor rgb="FFFFFFFF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FFC0"/>
        <bgColor rgb="FFFFF2CC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DDDDD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4" fillId="5" borderId="3" applyAlignment="1" pivotButton="0" quotePrefix="0" xfId="0">
      <alignment horizontal="center" vertical="center" wrapText="1"/>
    </xf>
    <xf numFmtId="0" fontId="16" fillId="4" borderId="4" applyAlignment="1" pivotButton="0" quotePrefix="0" xfId="0">
      <alignment horizontal="center" vertical="center"/>
    </xf>
    <xf numFmtId="0" fontId="17" fillId="4" borderId="4" applyAlignment="1" pivotButton="0" quotePrefix="0" xfId="0">
      <alignment horizontal="left" vertical="center"/>
    </xf>
    <xf numFmtId="0" fontId="17" fillId="4" borderId="4" applyAlignment="1" pivotButton="0" quotePrefix="0" xfId="0">
      <alignment horizontal="center" vertical="center"/>
    </xf>
    <xf numFmtId="3" fontId="16" fillId="4" borderId="4" applyAlignment="1" pivotButton="0" quotePrefix="0" xfId="0">
      <alignment horizontal="right" vertical="center"/>
    </xf>
    <xf numFmtId="164" fontId="16" fillId="4" borderId="4" applyAlignment="1" pivotButton="0" quotePrefix="0" xfId="0">
      <alignment horizontal="right" vertical="center"/>
    </xf>
    <xf numFmtId="0" fontId="16" fillId="6" borderId="4" applyAlignment="1" pivotButton="0" quotePrefix="0" xfId="0">
      <alignment horizontal="center" vertical="center"/>
    </xf>
    <xf numFmtId="0" fontId="17" fillId="6" borderId="4" applyAlignment="1" pivotButton="0" quotePrefix="0" xfId="0">
      <alignment horizontal="left" vertical="center"/>
    </xf>
    <xf numFmtId="0" fontId="17" fillId="6" borderId="4" applyAlignment="1" pivotButton="0" quotePrefix="0" xfId="0">
      <alignment horizontal="center" vertical="center"/>
    </xf>
    <xf numFmtId="3" fontId="16" fillId="6" borderId="4" applyAlignment="1" pivotButton="0" quotePrefix="0" xfId="0">
      <alignment horizontal="right" vertical="center"/>
    </xf>
    <xf numFmtId="164" fontId="16" fillId="6" borderId="4" applyAlignment="1" pivotButton="0" quotePrefix="0" xfId="0">
      <alignment horizontal="right" vertical="center"/>
    </xf>
    <xf numFmtId="0" fontId="14" fillId="5" borderId="3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5" applyAlignment="1" pivotButton="0" quotePrefix="0" xfId="0">
      <alignment horizontal="left" vertical="center"/>
    </xf>
    <xf numFmtId="0" fontId="16" fillId="4" borderId="5" applyAlignment="1" pivotButton="0" quotePrefix="0" xfId="0">
      <alignment horizontal="center" vertical="center"/>
    </xf>
    <xf numFmtId="0" fontId="16" fillId="4" borderId="5" applyAlignment="1" pivotButton="0" quotePrefix="0" xfId="0">
      <alignment horizontal="left" vertical="center"/>
    </xf>
    <xf numFmtId="165" fontId="22" fillId="0" borderId="0" applyAlignment="1" pivotButton="0" quotePrefix="0" xfId="0">
      <alignment horizontal="center" vertical="center"/>
    </xf>
    <xf numFmtId="0" fontId="20" fillId="7" borderId="4" applyAlignment="1" pivotButton="0" quotePrefix="0" xfId="0">
      <alignment horizontal="right" vertical="center"/>
    </xf>
    <xf numFmtId="0" fontId="23" fillId="3" borderId="0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0" fillId="7" borderId="4" applyAlignment="1" pivotButton="0" quotePrefix="0" xfId="0">
      <alignment horizontal="center" vertical="center"/>
    </xf>
    <xf numFmtId="1" fontId="16" fillId="6" borderId="4" applyAlignment="1" pivotButton="0" quotePrefix="0" xfId="0">
      <alignment horizontal="center" vertical="center"/>
    </xf>
    <xf numFmtId="166" fontId="16" fillId="6" borderId="4" applyAlignment="1" pivotButton="0" quotePrefix="0" xfId="0">
      <alignment horizontal="right" vertical="center"/>
    </xf>
    <xf numFmtId="1" fontId="16" fillId="4" borderId="4" applyAlignment="1" pivotButton="0" quotePrefix="0" xfId="0">
      <alignment horizontal="center" vertical="center"/>
    </xf>
    <xf numFmtId="166" fontId="16" fillId="4" borderId="4" applyAlignment="1" pivotButton="0" quotePrefix="0" xfId="0">
      <alignment horizontal="right" vertical="center"/>
    </xf>
    <xf numFmtId="1" fontId="15" fillId="2" borderId="6" applyAlignment="1" pivotButton="0" quotePrefix="0" xfId="0">
      <alignment horizontal="center" vertical="center"/>
    </xf>
    <xf numFmtId="166" fontId="15" fillId="2" borderId="6" applyAlignment="1" pivotButton="0" quotePrefix="0" xfId="0">
      <alignment horizontal="right" vertical="center"/>
    </xf>
    <xf numFmtId="3" fontId="15" fillId="2" borderId="6" applyAlignment="1" pivotButton="0" quotePrefix="0" xfId="0">
      <alignment horizontal="right" vertical="center"/>
    </xf>
    <xf numFmtId="0" fontId="14" fillId="9" borderId="3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/>
    </xf>
    <xf numFmtId="0" fontId="17" fillId="10" borderId="4" applyAlignment="1" pivotButton="0" quotePrefix="0" xfId="0">
      <alignment horizontal="left" vertical="center"/>
    </xf>
    <xf numFmtId="3" fontId="16" fillId="10" borderId="4" applyAlignment="1" pivotButton="0" quotePrefix="0" xfId="0">
      <alignment horizontal="right" vertical="center"/>
    </xf>
    <xf numFmtId="1" fontId="16" fillId="10" borderId="4" applyAlignment="1" pivotButton="0" quotePrefix="0" xfId="0">
      <alignment horizontal="center" vertical="center"/>
    </xf>
    <xf numFmtId="3" fontId="15" fillId="9" borderId="6" applyAlignment="1" pivotButton="0" quotePrefix="0" xfId="0">
      <alignment horizontal="right" vertical="center"/>
    </xf>
    <xf numFmtId="166" fontId="15" fillId="9" borderId="6" applyAlignment="1" pivotButton="0" quotePrefix="0" xfId="0">
      <alignment horizontal="right" vertical="center"/>
    </xf>
    <xf numFmtId="0" fontId="28" fillId="5" borderId="3" applyAlignment="1" pivotButton="0" quotePrefix="0" xfId="0">
      <alignment horizontal="center" vertical="center"/>
    </xf>
    <xf numFmtId="0" fontId="29" fillId="5" borderId="3" applyAlignment="1" pivotButton="0" quotePrefix="0" xfId="0">
      <alignment horizontal="center" vertical="center" wrapText="1"/>
    </xf>
    <xf numFmtId="0" fontId="30" fillId="11" borderId="3" applyAlignment="1" pivotButton="0" quotePrefix="0" xfId="0">
      <alignment horizontal="center" vertical="center"/>
    </xf>
    <xf numFmtId="0" fontId="31" fillId="11" borderId="3" applyAlignment="1" pivotButton="0" quotePrefix="0" xfId="0">
      <alignment horizontal="center" vertical="center"/>
    </xf>
    <xf numFmtId="0" fontId="32" fillId="4" borderId="4" applyAlignment="1" pivotButton="0" quotePrefix="0" xfId="0">
      <alignment horizontal="center" vertical="center"/>
    </xf>
    <xf numFmtId="1" fontId="33" fillId="10" borderId="4" applyAlignment="1" pivotButton="0" quotePrefix="0" xfId="0">
      <alignment horizontal="center" vertical="center"/>
    </xf>
    <xf numFmtId="166" fontId="33" fillId="12" borderId="4" applyAlignment="1" pivotButton="0" quotePrefix="0" xfId="0">
      <alignment horizontal="right" vertical="center"/>
    </xf>
    <xf numFmtId="0" fontId="32" fillId="6" borderId="4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/>
    </xf>
    <xf numFmtId="0" fontId="20" fillId="7" borderId="2" applyAlignment="1" pivotButton="0" quotePrefix="0" xfId="0">
      <alignment horizontal="right" vertical="center"/>
    </xf>
    <xf numFmtId="0" fontId="24" fillId="8" borderId="2" applyAlignment="1" pivotButton="0" quotePrefix="0" xfId="0">
      <alignment horizontal="left" vertical="center"/>
    </xf>
    <xf numFmtId="0" fontId="26" fillId="2" borderId="1" applyAlignment="1" pivotButton="0" quotePrefix="0" xfId="0">
      <alignment horizontal="center" vertical="center"/>
    </xf>
    <xf numFmtId="0" fontId="25" fillId="8" borderId="2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35" fillId="4" borderId="4" applyAlignment="1" pivotButton="0" quotePrefix="0" xfId="0">
      <alignment horizontal="left" vertical="center"/>
    </xf>
    <xf numFmtId="0" fontId="35" fillId="6" borderId="4" applyAlignment="1" pivotButton="0" quotePrefix="0" xfId="0">
      <alignment horizontal="left" vertical="center"/>
    </xf>
    <xf numFmtId="14" fontId="16" fillId="4" borderId="4" applyAlignment="1" pivotButton="0" quotePrefix="0" xfId="0">
      <alignment horizontal="center" vertical="center"/>
    </xf>
    <xf numFmtId="20" fontId="16" fillId="4" borderId="4" applyAlignment="1" pivotButton="0" quotePrefix="0" xfId="0">
      <alignment horizontal="center" vertical="center"/>
    </xf>
    <xf numFmtId="14" fontId="16" fillId="6" borderId="4" applyAlignment="1" pivotButton="0" quotePrefix="0" xfId="0">
      <alignment horizontal="center" vertical="center"/>
    </xf>
    <xf numFmtId="20" fontId="16" fillId="6" borderId="4" applyAlignment="1" pivotButton="0" quotePrefix="0" xfId="0">
      <alignment horizontal="center" vertical="center"/>
    </xf>
    <xf numFmtId="14" fontId="16" fillId="6" borderId="5" applyAlignment="1" pivotButton="0" quotePrefix="0" xfId="0">
      <alignment horizontal="center" vertical="center"/>
    </xf>
    <xf numFmtId="20" fontId="16" fillId="6" borderId="5" applyAlignment="1" pivotButton="0" quotePrefix="0" xfId="0">
      <alignment horizontal="center" vertical="center"/>
    </xf>
    <xf numFmtId="14" fontId="16" fillId="4" borderId="5" applyAlignment="1" pivotButton="0" quotePrefix="0" xfId="0">
      <alignment horizontal="center" vertical="center"/>
    </xf>
    <xf numFmtId="20" fontId="16" fillId="4" borderId="5" applyAlignment="1" pivotButton="0" quotePrefix="0" xfId="0">
      <alignment horizontal="center" vertical="center"/>
    </xf>
    <xf numFmtId="14" fontId="0" fillId="0" borderId="0" pivotButton="0" quotePrefix="0" xfId="0"/>
    <xf numFmtId="20" fontId="0" fillId="0" borderId="0" pivotButton="0" quotePrefix="0" xfId="0"/>
    <xf numFmtId="0" fontId="42" fillId="17" borderId="1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43" fillId="14" borderId="11" applyAlignment="1" pivotButton="0" quotePrefix="0" xfId="0">
      <alignment horizontal="left" vertical="center" wrapText="1"/>
    </xf>
    <xf numFmtId="0" fontId="44" fillId="17" borderId="11" applyAlignment="1" pivotButton="0" quotePrefix="0" xfId="0">
      <alignment horizontal="left" vertical="center"/>
    </xf>
    <xf numFmtId="0" fontId="45" fillId="18" borderId="11" applyAlignment="1" pivotButton="0" quotePrefix="0" xfId="0">
      <alignment horizontal="center" vertical="center" wrapText="1"/>
    </xf>
    <xf numFmtId="0" fontId="46" fillId="19" borderId="11" applyAlignment="1" pivotButton="0" quotePrefix="0" xfId="0">
      <alignment horizontal="center" vertical="center"/>
    </xf>
    <xf numFmtId="0" fontId="46" fillId="19" borderId="11" applyAlignment="1" pivotButton="0" quotePrefix="0" xfId="0">
      <alignment horizontal="left" vertical="center"/>
    </xf>
    <xf numFmtId="0" fontId="47" fillId="19" borderId="11" applyAlignment="1" pivotButton="0" quotePrefix="0" xfId="0">
      <alignment horizontal="left" vertical="center" wrapText="1"/>
    </xf>
    <xf numFmtId="0" fontId="47" fillId="19" borderId="11" applyAlignment="1" pivotButton="0" quotePrefix="0" xfId="0">
      <alignment horizontal="center" vertical="center" wrapText="1"/>
    </xf>
    <xf numFmtId="0" fontId="41" fillId="20" borderId="11" applyAlignment="1" pivotButton="0" quotePrefix="0" xfId="0">
      <alignment horizontal="left" vertical="center" wrapText="1"/>
    </xf>
    <xf numFmtId="0" fontId="46" fillId="0" borderId="11" applyAlignment="1" pivotButton="0" quotePrefix="0" xfId="0">
      <alignment horizontal="center" vertical="center"/>
    </xf>
    <xf numFmtId="0" fontId="46" fillId="0" borderId="11" applyAlignment="1" pivotButton="0" quotePrefix="0" xfId="0">
      <alignment horizontal="left" vertical="center"/>
    </xf>
    <xf numFmtId="0" fontId="47" fillId="0" borderId="11" applyAlignment="1" pivotButton="0" quotePrefix="0" xfId="0">
      <alignment horizontal="left" vertical="center" wrapText="1"/>
    </xf>
    <xf numFmtId="0" fontId="47" fillId="0" borderId="11" applyAlignment="1" pivotButton="0" quotePrefix="0" xfId="0">
      <alignment horizontal="center" vertical="center" wrapText="1"/>
    </xf>
    <xf numFmtId="0" fontId="43" fillId="20" borderId="11" applyAlignment="1" pivotButton="0" quotePrefix="0" xfId="0">
      <alignment horizontal="center" vertical="center" wrapText="1"/>
    </xf>
    <xf numFmtId="0" fontId="46" fillId="20" borderId="11" applyAlignment="1" pivotButton="0" quotePrefix="0" xfId="0">
      <alignment horizontal="left" vertical="center" wrapText="1"/>
    </xf>
    <xf numFmtId="0" fontId="47" fillId="20" borderId="11" applyAlignment="1" pivotButton="0" quotePrefix="0" xfId="0">
      <alignment horizontal="left" vertical="center" wrapText="1"/>
    </xf>
    <xf numFmtId="0" fontId="47" fillId="20" borderId="11" applyAlignment="1" pivotButton="0" quotePrefix="0" xfId="0">
      <alignment horizontal="center" vertical="center" wrapText="1"/>
    </xf>
    <xf numFmtId="0" fontId="48" fillId="20" borderId="11" applyAlignment="1" pivotButton="0" quotePrefix="0" xfId="0">
      <alignment horizontal="left" vertical="center" wrapText="1"/>
    </xf>
    <xf numFmtId="0" fontId="40" fillId="19" borderId="11" applyAlignment="1" pivotButton="0" quotePrefix="0" xfId="0">
      <alignment horizontal="center" vertical="center" wrapText="1"/>
    </xf>
    <xf numFmtId="0" fontId="40" fillId="19" borderId="11" applyAlignment="1" pivotButton="0" quotePrefix="0" xfId="0">
      <alignment horizontal="left" vertical="center" wrapText="1"/>
    </xf>
    <xf numFmtId="0" fontId="40" fillId="0" borderId="11" applyAlignment="1" pivotButton="0" quotePrefix="0" xfId="0">
      <alignment horizontal="center" vertical="center" wrapText="1"/>
    </xf>
    <xf numFmtId="0" fontId="40" fillId="0" borderId="11" applyAlignment="1" pivotButton="0" quotePrefix="0" xfId="0">
      <alignment horizontal="left" vertical="center" wrapText="1"/>
    </xf>
    <xf numFmtId="0" fontId="40" fillId="14" borderId="11" applyAlignment="1" pivotButton="0" quotePrefix="0" xfId="0">
      <alignment horizontal="center" vertical="center" wrapText="1"/>
    </xf>
    <xf numFmtId="0" fontId="47" fillId="14" borderId="11" applyAlignment="1" pivotButton="0" quotePrefix="0" xfId="0">
      <alignment horizontal="left" vertical="center" wrapText="1"/>
    </xf>
    <xf numFmtId="0" fontId="40" fillId="14" borderId="11" applyAlignment="1" pivotButton="0" quotePrefix="0" xfId="0">
      <alignment horizontal="left" vertical="center" wrapText="1"/>
    </xf>
    <xf numFmtId="0" fontId="49" fillId="19" borderId="11" applyAlignment="1" pivotButton="0" quotePrefix="0" xfId="0">
      <alignment horizontal="center" vertical="center" wrapText="1"/>
    </xf>
    <xf numFmtId="0" fontId="50" fillId="17" borderId="11" applyAlignment="1" pivotButton="0" quotePrefix="0" xfId="0">
      <alignment horizontal="center" vertical="center"/>
    </xf>
    <xf numFmtId="0" fontId="46" fillId="0" borderId="11" applyAlignment="1" pivotButton="0" quotePrefix="0" xfId="0">
      <alignment horizontal="left" vertical="center" wrapText="1"/>
    </xf>
    <xf numFmtId="0" fontId="43" fillId="15" borderId="11" applyAlignment="1" pivotButton="0" quotePrefix="0" xfId="0">
      <alignment horizontal="left" vertical="center" wrapText="1"/>
    </xf>
    <xf numFmtId="0" fontId="41" fillId="15" borderId="11" applyAlignment="1" pivotButton="0" quotePrefix="0" xfId="0">
      <alignment horizontal="left" vertical="center" wrapText="1"/>
    </xf>
    <xf numFmtId="0" fontId="36" fillId="2" borderId="1" applyAlignment="1" pivotButton="0" quotePrefix="0" xfId="0">
      <alignment horizontal="center" vertical="center"/>
    </xf>
    <xf numFmtId="0" fontId="0" fillId="0" borderId="8" pivotButton="0" quotePrefix="0" xfId="0"/>
    <xf numFmtId="164" fontId="16" fillId="4" borderId="4" applyAlignment="1" pivotButton="0" quotePrefix="0" xfId="0">
      <alignment horizontal="right" vertical="center"/>
    </xf>
    <xf numFmtId="164" fontId="16" fillId="6" borderId="4" applyAlignment="1" pivotButton="0" quotePrefix="0" xfId="0">
      <alignment horizontal="right" vertical="center"/>
    </xf>
    <xf numFmtId="0" fontId="37" fillId="13" borderId="11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0" borderId="10" pivotButton="0" quotePrefix="0" xfId="0"/>
    <xf numFmtId="165" fontId="22" fillId="0" borderId="0" applyAlignment="1" pivotButton="0" quotePrefix="0" xfId="0">
      <alignment horizontal="center" vertical="center"/>
    </xf>
    <xf numFmtId="0" fontId="38" fillId="0" borderId="11" applyAlignment="1" pivotButton="0" quotePrefix="0" xfId="0">
      <alignment horizontal="left" vertical="center" wrapText="1"/>
    </xf>
    <xf numFmtId="166" fontId="16" fillId="6" borderId="4" applyAlignment="1" pivotButton="0" quotePrefix="0" xfId="0">
      <alignment horizontal="right" vertical="center"/>
    </xf>
    <xf numFmtId="2" fontId="0" fillId="0" borderId="11" pivotButton="0" quotePrefix="0" xfId="0"/>
    <xf numFmtId="166" fontId="16" fillId="4" borderId="4" applyAlignment="1" pivotButton="0" quotePrefix="0" xfId="0">
      <alignment horizontal="right" vertical="center"/>
    </xf>
    <xf numFmtId="166" fontId="15" fillId="2" borderId="6" applyAlignment="1" pivotButton="0" quotePrefix="0" xfId="0">
      <alignment horizontal="right" vertical="center"/>
    </xf>
    <xf numFmtId="2" fontId="39" fillId="0" borderId="11" pivotButton="0" quotePrefix="0" xfId="0"/>
    <xf numFmtId="0" fontId="41" fillId="15" borderId="11" applyAlignment="1" pivotButton="0" quotePrefix="0" xfId="0">
      <alignment horizontal="center" vertical="center" wrapText="1"/>
    </xf>
    <xf numFmtId="0" fontId="37" fillId="16" borderId="11" applyAlignment="1" pivotButton="0" quotePrefix="0" xfId="0">
      <alignment horizontal="center" vertical="center" wrapText="1"/>
    </xf>
    <xf numFmtId="3" fontId="0" fillId="0" borderId="11" pivotButton="0" quotePrefix="0" xfId="0"/>
    <xf numFmtId="3" fontId="0" fillId="15" borderId="11" pivotButton="0" quotePrefix="0" xfId="0"/>
    <xf numFmtId="3" fontId="0" fillId="16" borderId="11" pivotButton="0" quotePrefix="0" xfId="0"/>
    <xf numFmtId="166" fontId="15" fillId="9" borderId="6" applyAlignment="1" pivotButton="0" quotePrefix="0" xfId="0">
      <alignment horizontal="right" vertical="center"/>
    </xf>
    <xf numFmtId="3" fontId="39" fillId="0" borderId="11" pivotButton="0" quotePrefix="0" xfId="0"/>
    <xf numFmtId="166" fontId="33" fillId="12" borderId="4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0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DDDDDD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19" customWidth="1" min="4" max="4"/>
    <col width="27" customWidth="1" min="5" max="5"/>
  </cols>
  <sheetData>
    <row r="1" ht="32" customHeight="1">
      <c r="A1" s="74" t="inlineStr">
        <is>
          <t>有限会社 東輝　給与管理システム　使い方ガイド</t>
        </is>
      </c>
      <c r="B1" s="75" t="n"/>
      <c r="C1" s="75" t="n"/>
      <c r="D1" s="75" t="n"/>
      <c r="E1" s="76" t="n"/>
    </row>
    <row r="2" ht="26" customHeight="1">
      <c r="A2" s="77" t="inlineStr">
        <is>
          <t>★ このガイドを読めば経理未経験でも給与計算ができます。【黄色セル】＝毎月手入力が必要な箇所です。</t>
        </is>
      </c>
      <c r="B2" s="75" t="n"/>
      <c r="C2" s="75" t="n"/>
      <c r="D2" s="75" t="n"/>
      <c r="E2" s="76" t="n"/>
    </row>
    <row r="4" ht="25" customHeight="1">
      <c r="A4" s="78" t="inlineStr">
        <is>
          <t>■ シート構成と役割</t>
        </is>
      </c>
      <c r="B4" s="75" t="n"/>
      <c r="C4" s="75" t="n"/>
      <c r="D4" s="75" t="n"/>
      <c r="E4" s="76" t="n"/>
    </row>
    <row r="5" ht="22" customHeight="1">
      <c r="A5" s="79" t="inlineStr">
        <is>
          <t>No</t>
        </is>
      </c>
      <c r="B5" s="79" t="inlineStr">
        <is>
          <t>シート名</t>
        </is>
      </c>
      <c r="C5" s="79" t="inlineStr">
        <is>
          <t>役割・説明</t>
        </is>
      </c>
      <c r="D5" s="79" t="inlineStr">
        <is>
          <t>編集頻度</t>
        </is>
      </c>
      <c r="E5" s="79" t="inlineStr">
        <is>
          <t>注意事項</t>
        </is>
      </c>
    </row>
    <row r="6" ht="40" customHeight="1">
      <c r="A6" s="80" t="inlineStr">
        <is>
          <t>①</t>
        </is>
      </c>
      <c r="B6" s="81" t="inlineStr">
        <is>
          <t>従業員マスタ</t>
        </is>
      </c>
      <c r="C6" s="82" t="inlineStr">
        <is>
          <t>従業員の基本情報（氏名・雇用区分・日給単価・各種保険料・税額）を管理。全ての給与計算のもとになる重要データ。</t>
        </is>
      </c>
      <c r="D6" s="83" t="inlineStr">
        <is>
          <t>入退社・保険料改定時</t>
        </is>
      </c>
      <c r="E6" s="84" t="inlineStr">
        <is>
          <t>★社員IDは「EMP001」形式で統一。変更不可。</t>
        </is>
      </c>
    </row>
    <row r="7" ht="40" customHeight="1">
      <c r="A7" s="85" t="inlineStr">
        <is>
          <t>②</t>
        </is>
      </c>
      <c r="B7" s="86" t="inlineStr">
        <is>
          <t>現場マスタ</t>
        </is>
      </c>
      <c r="C7" s="87" t="inlineStr">
        <is>
          <t>現場コード（A〜J等）と現場名・発注者・工事種別を管理。出退勤入力の現場コードと対応する。</t>
        </is>
      </c>
      <c r="D7" s="88" t="inlineStr">
        <is>
          <t>新工事着工時</t>
        </is>
      </c>
      <c r="E7" s="84" t="inlineStr">
        <is>
          <t>★コードはアルファベット大文字1文字のみ。</t>
        </is>
      </c>
    </row>
    <row r="8" ht="40" customHeight="1">
      <c r="A8" s="80" t="inlineStr">
        <is>
          <t>③</t>
        </is>
      </c>
      <c r="B8" s="81" t="inlineStr">
        <is>
          <t>出退勤入力</t>
        </is>
      </c>
      <c r="C8" s="82" t="inlineStr">
        <is>
          <t>毎日の出退勤を1行1件で入力。社員ID・出勤区分・現場・時刻・残業時間を入力すると氏名・現場名が自動表示される。</t>
        </is>
      </c>
      <c r="D8" s="83" t="inlineStr">
        <is>
          <t>毎日（勤務発生ごと）</t>
        </is>
      </c>
      <c r="E8" s="84" t="inlineStr">
        <is>
          <t>★社員IDは従業員マスタと完全一致させること。</t>
        </is>
      </c>
    </row>
    <row r="9" ht="40" customHeight="1">
      <c r="A9" s="85" t="inlineStr">
        <is>
          <t>④</t>
        </is>
      </c>
      <c r="B9" s="86" t="inlineStr">
        <is>
          <t>月次集計</t>
        </is>
      </c>
      <c r="C9" s="87" t="inlineStr">
        <is>
          <t>年・月を入力するだけで全員の出勤日数・残業時間・現場別日数・実働時間が自動集計される。給与計算の元データ。</t>
        </is>
      </c>
      <c r="D9" s="88" t="inlineStr">
        <is>
          <t>月初に年月を更新するだけ</t>
        </is>
      </c>
      <c r="E9" s="84" t="inlineStr">
        <is>
          <t>★E2に年、F2に月を入力するだけ。他は触らない。</t>
        </is>
      </c>
    </row>
    <row r="10" ht="40" customHeight="1">
      <c r="A10" s="80" t="inlineStr">
        <is>
          <t>⑤</t>
        </is>
      </c>
      <c r="B10" s="81" t="inlineStr">
        <is>
          <t>給与計算</t>
        </is>
      </c>
      <c r="C10" s="82" t="inlineStr">
        <is>
          <t>月次集計・従業員マスタと連動して基本給・残業手当・各種控除・手取金額を自動計算。
★手当（J列）と立替金（S列）のみ毎月手入力。</t>
        </is>
      </c>
      <c r="D10" s="83" t="inlineStr">
        <is>
          <t>月1回（月次集計更新後）</t>
        </is>
      </c>
      <c r="E10" s="84" t="inlineStr">
        <is>
          <t>★J列（手当）とS列（立替金）のみ毎月確認・入力。</t>
        </is>
      </c>
    </row>
    <row r="11" ht="40" customHeight="1">
      <c r="A11" s="85" t="inlineStr">
        <is>
          <t>⑥</t>
        </is>
      </c>
      <c r="B11" s="86" t="inlineStr">
        <is>
          <t>出勤簿（印刷用）</t>
        </is>
      </c>
      <c r="C11" s="87" t="inlineStr">
        <is>
          <t>カレンダー形式で月次の出勤状況を表示・印刷。保管用として使用。</t>
        </is>
      </c>
      <c r="D11" s="88" t="inlineStr">
        <is>
          <t>月1回（印刷・保管）</t>
        </is>
      </c>
      <c r="E11" s="84" t="inlineStr">
        <is>
          <t>★印刷後は担当者が押印して保管。</t>
        </is>
      </c>
    </row>
    <row r="13" ht="25" customHeight="1">
      <c r="A13" s="78" t="inlineStr">
        <is>
          <t>■ 毎月の作業手順（詳細版）</t>
        </is>
      </c>
      <c r="B13" s="75" t="n"/>
      <c r="C13" s="75" t="n"/>
      <c r="D13" s="75" t="n"/>
      <c r="E13" s="76" t="n"/>
    </row>
    <row r="14" ht="22" customHeight="1">
      <c r="A14" s="79" t="inlineStr">
        <is>
          <t>STEP</t>
        </is>
      </c>
      <c r="B14" s="79" t="inlineStr">
        <is>
          <t>作業内容</t>
        </is>
      </c>
      <c r="C14" s="79" t="inlineStr">
        <is>
          <t>具体的な操作手順</t>
        </is>
      </c>
      <c r="D14" s="79" t="inlineStr">
        <is>
          <t>対象シート</t>
        </is>
      </c>
      <c r="E14" s="79" t="inlineStr">
        <is>
          <t>チェックポイント</t>
        </is>
      </c>
    </row>
    <row r="15" ht="65" customHeight="1">
      <c r="A15" s="89" t="inlineStr">
        <is>
          <t>STEP 1</t>
        </is>
      </c>
      <c r="B15" s="90" t="inlineStr">
        <is>
          <t>年月を設定する</t>
        </is>
      </c>
      <c r="C15" s="91" t="inlineStr">
        <is>
          <t>月次集計シートのE2セルに年（例：2026）、F2セルに月（例：5）を数字で入力する。</t>
        </is>
      </c>
      <c r="D15" s="92" t="inlineStr">
        <is>
          <t>月次集計</t>
        </is>
      </c>
      <c r="E15" s="93" t="inlineStr">
        <is>
          <t>C2セルに「2026-05-01」と自動表示されれば正常。集計結果が当月のものになっているか確認。</t>
        </is>
      </c>
    </row>
    <row r="16" ht="65" customHeight="1">
      <c r="A16" s="89" t="inlineStr">
        <is>
          <t>STEP 2</t>
        </is>
      </c>
      <c r="B16" s="90" t="inlineStr">
        <is>
          <t>出退勤データを
入力する</t>
        </is>
      </c>
      <c r="C16" s="91" t="inlineStr">
        <is>
          <t>出退勤入力シートに当月の出退勤を1行1件で入力（行を追加しながら入力する）。
★B列：社員ID（EMP001形式）
★E列：出勤区分（○/△/出/有給/欠勤）
★F列：現場コード（A〜J）
★H列：出勤時刻（例：08:00）
★I列：退勤時刻（例：17:00）
★J列：残業時間（h）を手入力</t>
        </is>
      </c>
      <c r="D16" s="92" t="inlineStr">
        <is>
          <t>出退勤入力</t>
        </is>
      </c>
      <c r="E16" s="93" t="inlineStr">
        <is>
          <t>氏名（C列）と現場名（G列）が自動で表示されれば入力OK。社員IDが間違えると名前が出ない。外注は名前のみ入力可（社員IDなしでOK）。</t>
        </is>
      </c>
    </row>
    <row r="17" ht="65" customHeight="1">
      <c r="A17" s="89" t="inlineStr">
        <is>
          <t>STEP 3</t>
        </is>
      </c>
      <c r="B17" s="90" t="inlineStr">
        <is>
          <t>月次集計を
確認する</t>
        </is>
      </c>
      <c r="C17" s="91" t="inlineStr">
        <is>
          <t>月次集計シートで各人の集計結果を確認する。
・C列：出勤日数が合っているか
・H列：残業時間が合っているか
・T列：実働時間合計（時給社員の給与計算に使用）が正しいか</t>
        </is>
      </c>
      <c r="D17" s="92" t="inlineStr">
        <is>
          <t>月次集計</t>
        </is>
      </c>
      <c r="E17" s="93" t="inlineStr">
        <is>
          <t>★時給社員のT列（実働時間合計）が0の場合は出退勤入力にH・I列（時刻）が入力されているか確認。全員が0の場合は年月の設定を確認。</t>
        </is>
      </c>
    </row>
    <row r="18" ht="65" customHeight="1">
      <c r="A18" s="89" t="inlineStr">
        <is>
          <t>STEP 4</t>
        </is>
      </c>
      <c r="B18" s="90" t="inlineStr">
        <is>
          <t>給与計算を
確認・調整する</t>
        </is>
      </c>
      <c r="C18" s="91" t="inlineStr">
        <is>
          <t>給与計算シートで各人の給与額を確認し、必要な手入力を行う。
★J列（手当合計）：現場手当・特別手当・実習生の割増手当などを毎月確認して入力
★S列（立替金）：個人立替分があれば入力（通常は0円）
　→ T列（手取金額）が最終的な支払金額</t>
        </is>
      </c>
      <c r="D18" s="92" t="inlineStr">
        <is>
          <t>給与計算</t>
        </is>
      </c>
      <c r="E18" s="93" t="inlineStr">
        <is>
          <t>手取金額（T列）がマイナスになっていないか確認。時給社員が0円のままなら月次集計T列を確認。実習生の割増手当・休業手当の入力漏れに注意。</t>
        </is>
      </c>
    </row>
    <row r="19" ht="65" customHeight="1">
      <c r="A19" s="89" t="inlineStr">
        <is>
          <t>STEP 5</t>
        </is>
      </c>
      <c r="B19" s="90" t="inlineStr">
        <is>
          <t>出勤簿を印刷する</t>
        </is>
      </c>
      <c r="C19" s="91" t="inlineStr">
        <is>
          <t>出勤簿（印刷用）シートを印刷して押印後に保管する。</t>
        </is>
      </c>
      <c r="D19" s="92" t="inlineStr">
        <is>
          <t>出勤簿（印刷用）</t>
        </is>
      </c>
      <c r="E19" s="93" t="inlineStr">
        <is>
          <t>月次と同じ年月のデータが表示されているか確認。印刷後に担当者が署名・押印して保管。</t>
        </is>
      </c>
    </row>
    <row r="21" ht="25" customHeight="1">
      <c r="A21" s="78" t="inlineStr">
        <is>
          <t>■ 雇用区分別　給与計算ロジック</t>
        </is>
      </c>
      <c r="B21" s="75" t="n"/>
      <c r="C21" s="75" t="n"/>
      <c r="D21" s="75" t="n"/>
      <c r="E21" s="76" t="n"/>
    </row>
    <row r="22" ht="22" customHeight="1">
      <c r="A22" s="79" t="inlineStr">
        <is>
          <t>雇用区分</t>
        </is>
      </c>
      <c r="B22" s="79" t="inlineStr">
        <is>
          <t>基本給の計算方法</t>
        </is>
      </c>
      <c r="C22" s="79" t="inlineStr">
        <is>
          <t>残業手当の計算</t>
        </is>
      </c>
      <c r="D22" s="79" t="inlineStr">
        <is>
          <t>特記事項・注意点</t>
        </is>
      </c>
      <c r="E22" s="79" t="inlineStr">
        <is>
          <t>担当者の作業</t>
        </is>
      </c>
    </row>
    <row r="23" ht="72" customHeight="1">
      <c r="A23" s="94" t="inlineStr">
        <is>
          <t>月給制
（社長・役員・
正社員）</t>
        </is>
      </c>
      <c r="B23" s="82" t="inlineStr">
        <is>
          <t>マスタF列の月額固定給をそのまま支給。出勤日数に関係なく毎月同額。</t>
        </is>
      </c>
      <c r="C23" s="82" t="inlineStr">
        <is>
          <t>時間単価（マスタG列）×残業時間×1.25倍。</t>
        </is>
      </c>
      <c r="D23" s="84" t="inlineStr">
        <is>
          <t>欠勤控除がある場合は「月給÷所定労働日数×欠勤日数」の金額をJ列でマイナス入力する。</t>
        </is>
      </c>
      <c r="E23" s="95" t="inlineStr">
        <is>
          <t>J列（手当・控除）のみ毎月確認</t>
        </is>
      </c>
    </row>
    <row r="24" ht="72" customHeight="1">
      <c r="A24" s="96" t="inlineStr">
        <is>
          <t>日給制
（日雇・一般作業員）</t>
        </is>
      </c>
      <c r="B24" s="87" t="inlineStr">
        <is>
          <t>日給単価×出勤日数（半日「△」は0.5日扱い）。出勤しなければ基本給なし。</t>
        </is>
      </c>
      <c r="C24" s="87" t="inlineStr">
        <is>
          <t>時間単価（マスタG列）×残業時間×1.25倍。（時間単価＝日給÷8時間）</t>
        </is>
      </c>
      <c r="D24" s="84" t="inlineStr">
        <is>
          <t>休日出勤（「出」区分）は日給×1.35倍以上をJ列に手入力する。現場手当もJ列。</t>
        </is>
      </c>
      <c r="E24" s="97" t="inlineStr">
        <is>
          <t>J列（手当）を毎月入力</t>
        </is>
      </c>
    </row>
    <row r="25" ht="72" customHeight="1">
      <c r="A25" s="94" t="inlineStr">
        <is>
          <t>時給制
（パート・事務員）</t>
        </is>
      </c>
      <c r="B25" s="82" t="inlineStr">
        <is>
          <t>時給単価（マスタG列）×実働時間合計（月次集計T列の自動計算値）。
出退勤時刻から実働時間を自動計算（6h以上は休憩1h控除）。</t>
        </is>
      </c>
      <c r="C25" s="82" t="inlineStr">
        <is>
          <t>法定労働時間超過分が残業。J列の残業時間に基づき時給×1.25で計算。</t>
        </is>
      </c>
      <c r="D25" s="84" t="inlineStr">
        <is>
          <t>★出退勤時刻（H・I列）の入力が必須！入力がないと給与が0円になる。</t>
        </is>
      </c>
      <c r="E25" s="95" t="inlineStr">
        <is>
          <t>J列（残業時間）の確認</t>
        </is>
      </c>
    </row>
    <row r="26" ht="72" customHeight="1">
      <c r="A26" s="98" t="inlineStr">
        <is>
          <t>実習生
（技能実習生）</t>
        </is>
      </c>
      <c r="B26" s="99" t="inlineStr">
        <is>
          <t>月給制と同じ計算式。ただし最低賃金以上であることを毎月必ず確認する。（熊本県952円/h〜）</t>
        </is>
      </c>
      <c r="C26" s="99" t="inlineStr">
        <is>
          <t>月給制と同じ（時間単価×残業時間×1.25）。深夜（22時〜）は×1.5。法定休日は×1.35。</t>
        </is>
      </c>
      <c r="D26" s="84" t="inlineStr">
        <is>
          <t>★本人都合欠勤→J列でマイナス入力（欠勤控除）
★会社都合欠勤→J列に休業手当（平均賃金×60%以上）を入力（労基法の義務）
★割増手当（残業・休日）は全てJ列で計算・入力する</t>
        </is>
      </c>
      <c r="E26" s="100" t="inlineStr">
        <is>
          <t>★J列（割増手当・欠勤控除）を毎月必ず計算して入力する</t>
        </is>
      </c>
    </row>
    <row r="28" ht="25" customHeight="1">
      <c r="A28" s="78" t="inlineStr">
        <is>
          <t>■ 控除項目の説明と更新タイミング</t>
        </is>
      </c>
      <c r="B28" s="75" t="n"/>
      <c r="C28" s="75" t="n"/>
      <c r="D28" s="75" t="n"/>
      <c r="E28" s="76" t="n"/>
    </row>
    <row r="29" ht="22" customHeight="1">
      <c r="A29" s="79" t="inlineStr">
        <is>
          <t>控除項目</t>
        </is>
      </c>
      <c r="B29" s="79" t="inlineStr">
        <is>
          <t>計算方法</t>
        </is>
      </c>
      <c r="C29" s="79" t="inlineStr">
        <is>
          <t>説明・根拠</t>
        </is>
      </c>
      <c r="D29" s="79" t="inlineStr">
        <is>
          <t>更新タイミング</t>
        </is>
      </c>
      <c r="E29" s="79" t="inlineStr">
        <is>
          <t>マスタ更新箇所</t>
        </is>
      </c>
    </row>
    <row r="30" ht="36" customHeight="1">
      <c r="A30" s="95" t="inlineStr">
        <is>
          <t>健康保険料</t>
        </is>
      </c>
      <c r="B30" s="82" t="inlineStr">
        <is>
          <t>マスタH列の
固定月額</t>
        </is>
      </c>
      <c r="C30" s="82" t="inlineStr">
        <is>
          <t>協会けんぽ等からの通知書に基づく。毎年3月に標準報酬月額に基づく改定あり。</t>
        </is>
      </c>
      <c r="D30" s="82" t="inlineStr">
        <is>
          <t>毎年3月（改定通知後）</t>
        </is>
      </c>
      <c r="E30" s="94" t="inlineStr">
        <is>
          <t>H列を新金額に更新</t>
        </is>
      </c>
    </row>
    <row r="31" ht="36" customHeight="1">
      <c r="A31" s="97" t="inlineStr">
        <is>
          <t>厚生年金保険料</t>
        </is>
      </c>
      <c r="B31" s="87" t="inlineStr">
        <is>
          <t>マスタI列の
固定月額</t>
        </is>
      </c>
      <c r="C31" s="87" t="inlineStr">
        <is>
          <t>毎年9月の標準報酬月額改定時に変わる場合あり。昇降給時は随時改定も必要。</t>
        </is>
      </c>
      <c r="D31" s="87" t="inlineStr">
        <is>
          <t>毎年9月・昇降給時</t>
        </is>
      </c>
      <c r="E31" s="96" t="inlineStr">
        <is>
          <t>I列を新金額に更新</t>
        </is>
      </c>
    </row>
    <row r="32" ht="36" customHeight="1">
      <c r="A32" s="95" t="inlineStr">
        <is>
          <t>雇用保険料</t>
        </is>
      </c>
      <c r="B32" s="82" t="inlineStr">
        <is>
          <t>総支給額×
マスタJ列の率（0.006）</t>
        </is>
      </c>
      <c r="C32" s="82" t="inlineStr">
        <is>
          <t>令和6年度の労働者負担率は6/1000。役員・家族従業員は適用外（J列=0）。</t>
        </is>
      </c>
      <c r="D32" s="82" t="inlineStr">
        <is>
          <t>毎年4月（年度確認）</t>
        </is>
      </c>
      <c r="E32" s="94" t="inlineStr">
        <is>
          <t>J列の率を確認</t>
        </is>
      </c>
    </row>
    <row r="33" ht="36" customHeight="1">
      <c r="A33" s="97" t="inlineStr">
        <is>
          <t>所得税（源泉）</t>
        </is>
      </c>
      <c r="B33" s="87" t="inlineStr">
        <is>
          <t>マスタK列の
固定月額</t>
        </is>
      </c>
      <c r="C33" s="87" t="inlineStr">
        <is>
          <t>国税庁の源泉徴収税額表に基づく。年末調整で過不足を精算する。</t>
        </is>
      </c>
      <c r="D33" s="87" t="inlineStr">
        <is>
          <t>給与額変更時・年末調整</t>
        </is>
      </c>
      <c r="E33" s="96" t="inlineStr">
        <is>
          <t>K列を更新</t>
        </is>
      </c>
    </row>
    <row r="34" ht="36" customHeight="1">
      <c r="A34" s="95" t="inlineStr">
        <is>
          <t>住民税</t>
        </is>
      </c>
      <c r="B34" s="82" t="inlineStr">
        <is>
          <t>マスタL列の
固定月額</t>
        </is>
      </c>
      <c r="C34" s="82" t="inlineStr">
        <is>
          <t>★毎年5〜6月に市区町村から「特別徴収税額の決定通知書」が届く。6月分から新金額を適用。</t>
        </is>
      </c>
      <c r="D34" s="84" t="inlineStr">
        <is>
          <t>★毎年6月（通知書受取後）</t>
        </is>
      </c>
      <c r="E34" s="94" t="inlineStr">
        <is>
          <t>★L列を新金額に更新</t>
        </is>
      </c>
    </row>
    <row r="35" ht="36" customHeight="1">
      <c r="A35" s="97" t="inlineStr">
        <is>
          <t>友愛会費</t>
        </is>
      </c>
      <c r="B35" s="87" t="inlineStr">
        <is>
          <t>マスタM列の
固定月額（通常3000円）</t>
        </is>
      </c>
      <c r="C35" s="87" t="inlineStr">
        <is>
          <t>会社の福利厚生費。役員・パート・実習生は対象外の場合あり（M列を0に設定）。</t>
        </is>
      </c>
      <c r="D35" s="87" t="inlineStr">
        <is>
          <t>変更時のみ</t>
        </is>
      </c>
      <c r="E35" s="96" t="inlineStr">
        <is>
          <t>M列を変更</t>
        </is>
      </c>
    </row>
    <row r="36" ht="36" customHeight="1">
      <c r="A36" s="95" t="inlineStr">
        <is>
          <t>立替金</t>
        </is>
      </c>
      <c r="B36" s="82" t="inlineStr">
        <is>
          <t>給与計算S列
★手動入力</t>
        </is>
      </c>
      <c r="C36" s="82" t="inlineStr">
        <is>
          <t>個人が立替えた費用（ガソリン代・材料費等）の回収額。通常0円。発生月のみ入力。</t>
        </is>
      </c>
      <c r="D36" s="84" t="inlineStr">
        <is>
          <t>★発生月のみ入力</t>
        </is>
      </c>
      <c r="E36" s="94" t="inlineStr">
        <is>
          <t>S列に直接入力</t>
        </is>
      </c>
    </row>
    <row r="38" ht="25" customHeight="1">
      <c r="A38" s="78" t="inlineStr">
        <is>
          <t>■ よくあるトラブル・Q&amp;A</t>
        </is>
      </c>
      <c r="B38" s="75" t="n"/>
      <c r="C38" s="75" t="n"/>
      <c r="D38" s="75" t="n"/>
      <c r="E38" s="76" t="n"/>
    </row>
    <row r="39" ht="52" customHeight="1">
      <c r="A39" s="101" t="inlineStr">
        <is>
          <t>Q: 月次集計が
0になる</t>
        </is>
      </c>
      <c r="B39" s="87" t="inlineStr">
        <is>
          <t>→ 出退勤入力のB列（社員ID）と従業員マスタA列が完全一致しているか確認。スペース・全角/半角・大文字/小文字が1字でも違うと集計されない。
　確認方法：出退勤入力B列のセルをクリックして、マスタA列の同じIDを目視で比較する。</t>
        </is>
      </c>
      <c r="C39" s="75" t="n"/>
      <c r="D39" s="75" t="n"/>
      <c r="E39" s="76" t="n"/>
    </row>
    <row r="40" ht="52" customHeight="1">
      <c r="A40" s="101" t="inlineStr">
        <is>
          <t>Q: 時給社員の
給与が0になる</t>
        </is>
      </c>
      <c r="B40" s="87" t="inlineStr">
        <is>
          <t>→ ①従業員マスタG列（時間単価）が空欄でないか確認（菊川・濱津等）
　②出退勤入力のH・I列（出退勤時刻）が入力されているか確認
　③月次集計T列（実働時間合計）が0でないか確認（0なら①②を見直す）</t>
        </is>
      </c>
      <c r="C40" s="75" t="n"/>
      <c r="D40" s="75" t="n"/>
      <c r="E40" s="76" t="n"/>
    </row>
    <row r="41" ht="52" customHeight="1">
      <c r="A41" s="101" t="inlineStr">
        <is>
          <t>Q: 従業員を
追加したい</t>
        </is>
      </c>
      <c r="B41" s="87" t="inlineStr">
        <is>
          <t>→ ①従業員マスタに新行を追加（EMP018、EMP019...と連番）し、全項目を入力
　②月次集計に同じIDで行を追加し、数式を1行上からコピー（合計行より上に追加）
　③給与計算も同様に行を追加して数式をコピー（合計行より上に追加）</t>
        </is>
      </c>
      <c r="C41" s="75" t="n"/>
      <c r="D41" s="75" t="n"/>
      <c r="E41" s="76" t="n"/>
    </row>
    <row r="42" ht="52" customHeight="1">
      <c r="A42" s="101" t="inlineStr">
        <is>
          <t>Q: 従業員が
退職した</t>
        </is>
      </c>
      <c r="B42" s="87" t="inlineStr">
        <is>
          <t>→ ①従業員マスタのE列（在籍状況）を「退職」に変更する
　②月次集計・給与計算の行はそのまま残す（過去データの参照のため）
　③翌月から出退勤入力に該当者のデータを入力しなければ自動的に0円になる</t>
        </is>
      </c>
      <c r="C42" s="75" t="n"/>
      <c r="D42" s="75" t="n"/>
      <c r="E42" s="76" t="n"/>
    </row>
    <row r="43" ht="52" customHeight="1">
      <c r="A43" s="101" t="inlineStr">
        <is>
          <t>Q: 保険料額が
変わった</t>
        </is>
      </c>
      <c r="B43" s="87" t="inlineStr">
        <is>
          <t>→ 従業員マスタの該当列（H：健保、I：厚生、K：所得税）の金額を更新する。変更月から新金額が自動適用される。変更前の金額はO列（備考）に記録しておくと良い。</t>
        </is>
      </c>
      <c r="C43" s="75" t="n"/>
      <c r="D43" s="75" t="n"/>
      <c r="E43" s="76" t="n"/>
    </row>
    <row r="44" ht="52" customHeight="1">
      <c r="A44" s="101" t="inlineStr">
        <is>
          <t>Q: 住民税額が変わった
（毎年6月）</t>
        </is>
      </c>
      <c r="B44" s="87" t="inlineStr">
        <is>
          <t>→ 毎年5〜6月に市区町村から「特別徴収税額の決定通知書」が届く。通知書の月額を従業員マスタのL列（住民税）に入力し直す。6月の給与から新金額を適用する。</t>
        </is>
      </c>
      <c r="C44" s="75" t="n"/>
      <c r="D44" s="75" t="n"/>
      <c r="E44" s="76" t="n"/>
    </row>
    <row r="45" ht="52" customHeight="1">
      <c r="A45" s="101" t="inlineStr">
        <is>
          <t>Q: 実習生が会社都合で
欠勤した</t>
        </is>
      </c>
      <c r="B45" s="87" t="inlineStr">
        <is>
          <t>→ 出退勤入力に「欠勤」区分で記録。給与計算のJ列（手当合計）に休業手当を計算して入力する。
　★休業手当＝過去3ヶ月平均賃金（総支給÷暦日数）×60%以上（労基法第26条）
　★未払は法律違反になるため必ず支払うこと。</t>
        </is>
      </c>
      <c r="C45" s="75" t="n"/>
      <c r="D45" s="75" t="n"/>
      <c r="E45" s="76" t="n"/>
    </row>
    <row r="46" ht="52" customHeight="1">
      <c r="A46" s="101" t="inlineStr">
        <is>
          <t>Q: 現場手当を
加算したい</t>
        </is>
      </c>
      <c r="B46" s="87" t="inlineStr">
        <is>
          <t>→ 給与計算のJ列（手当合計）に金額を手入力する。複数の手当がある場合は合計額を入力し、内訳は備考（別紙）に記録する。</t>
        </is>
      </c>
      <c r="C46" s="75" t="n"/>
      <c r="D46" s="75" t="n"/>
      <c r="E46" s="76" t="n"/>
    </row>
  </sheetData>
  <mergeCells count="15">
    <mergeCell ref="A21:E21"/>
    <mergeCell ref="B45:E45"/>
    <mergeCell ref="B40:E40"/>
    <mergeCell ref="B41:E41"/>
    <mergeCell ref="A4:E4"/>
    <mergeCell ref="A38:E38"/>
    <mergeCell ref="A2:E2"/>
    <mergeCell ref="B43:E43"/>
    <mergeCell ref="A28:E28"/>
    <mergeCell ref="B44:E44"/>
    <mergeCell ref="B39:E39"/>
    <mergeCell ref="A1:E1"/>
    <mergeCell ref="A13:E13"/>
    <mergeCell ref="B42:E42"/>
    <mergeCell ref="B46:E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40" customWidth="1" min="4" max="4"/>
    <col width="22" customWidth="1" min="5" max="5"/>
  </cols>
  <sheetData>
    <row r="1" ht="30" customHeight="1">
      <c r="A1" s="102" t="inlineStr">
        <is>
          <t>有限会社 東輝　給与計算ロジック説明書（担当者向け詳細資料）</t>
        </is>
      </c>
      <c r="B1" s="75" t="n"/>
      <c r="C1" s="75" t="n"/>
      <c r="D1" s="75" t="n"/>
      <c r="E1" s="76" t="n"/>
    </row>
    <row r="2" ht="24" customHeight="1">
      <c r="A2" s="77" t="inlineStr">
        <is>
          <t>★ このシートは説明専用です。直接編集しないでください。給与計算の仕組みを理解するための参考資料です。</t>
        </is>
      </c>
      <c r="B2" s="75" t="n"/>
      <c r="C2" s="75" t="n"/>
      <c r="D2" s="75" t="n"/>
      <c r="E2" s="76" t="n"/>
    </row>
    <row r="4" ht="25" customHeight="1">
      <c r="A4" s="78" t="inlineStr">
        <is>
          <t>■ 給与計算シート　全列の説明（A〜T列）</t>
        </is>
      </c>
      <c r="B4" s="75" t="n"/>
      <c r="C4" s="75" t="n"/>
      <c r="D4" s="75" t="n"/>
      <c r="E4" s="76" t="n"/>
    </row>
    <row r="5" ht="22" customHeight="1">
      <c r="A5" s="79" t="inlineStr">
        <is>
          <t>列</t>
        </is>
      </c>
      <c r="B5" s="79" t="inlineStr">
        <is>
          <t>列の名前</t>
        </is>
      </c>
      <c r="C5" s="79" t="inlineStr">
        <is>
          <t>計算式・取得元</t>
        </is>
      </c>
      <c r="D5" s="79" t="inlineStr">
        <is>
          <t>詳細説明・注意事項</t>
        </is>
      </c>
      <c r="E5" s="79" t="inlineStr">
        <is>
          <t>入力者・タイミング</t>
        </is>
      </c>
    </row>
    <row r="6" ht="40" customHeight="1">
      <c r="A6" s="80" t="inlineStr">
        <is>
          <t>A</t>
        </is>
      </c>
      <c r="B6" s="103" t="inlineStr">
        <is>
          <t>社員ID</t>
        </is>
      </c>
      <c r="C6" s="87" t="inlineStr">
        <is>
          <t>手動入力（変更不可）</t>
        </is>
      </c>
      <c r="D6" s="87" t="inlineStr">
        <is>
          <t>EMP001形式。従業員マスタA列と完全一致が必要。変更すると全参照が壊れる。</t>
        </is>
      </c>
      <c r="E6" s="87" t="inlineStr">
        <is>
          <t>入退社時のみ</t>
        </is>
      </c>
    </row>
    <row r="7" ht="40" customHeight="1">
      <c r="A7" s="80" t="inlineStr">
        <is>
          <t>B</t>
        </is>
      </c>
      <c r="B7" s="103" t="inlineStr">
        <is>
          <t>氏名</t>
        </is>
      </c>
      <c r="C7" s="87" t="inlineStr">
        <is>
          <t>VLOOKUP(社員ID,マスタ,2)</t>
        </is>
      </c>
      <c r="D7" s="87" t="inlineStr">
        <is>
          <t>マスタB列から自動取得。</t>
        </is>
      </c>
      <c r="E7" s="87" t="inlineStr">
        <is>
          <t>自動</t>
        </is>
      </c>
    </row>
    <row r="8" ht="40" customHeight="1">
      <c r="A8" s="80" t="inlineStr">
        <is>
          <t>C</t>
        </is>
      </c>
      <c r="B8" s="103" t="inlineStr">
        <is>
          <t>雇用区分</t>
        </is>
      </c>
      <c r="C8" s="87" t="inlineStr">
        <is>
          <t>VLOOKUP(社員ID,マスタ,4)</t>
        </is>
      </c>
      <c r="D8" s="87" t="inlineStr">
        <is>
          <t>月給・日給・時給のいずれか。H列の計算方式がこの値で切り替わる。</t>
        </is>
      </c>
      <c r="E8" s="87" t="inlineStr">
        <is>
          <t>自動</t>
        </is>
      </c>
    </row>
    <row r="9" ht="40" customHeight="1">
      <c r="A9" s="80" t="inlineStr">
        <is>
          <t>D</t>
        </is>
      </c>
      <c r="B9" s="103" t="inlineStr">
        <is>
          <t>基本給/日給単価</t>
        </is>
      </c>
      <c r="C9" s="87" t="inlineStr">
        <is>
          <t>VLOOKUP(マスタF列)</t>
        </is>
      </c>
      <c r="D9" s="87" t="inlineStr">
        <is>
          <t>月給→月額固定、日給→1日単価。時給制はG列（時間単価）が実際の計算に使われる。</t>
        </is>
      </c>
      <c r="E9" s="87" t="inlineStr">
        <is>
          <t>自動</t>
        </is>
      </c>
    </row>
    <row r="10" ht="40" customHeight="1">
      <c r="A10" s="80" t="inlineStr">
        <is>
          <t>E</t>
        </is>
      </c>
      <c r="B10" s="103" t="inlineStr">
        <is>
          <t>出勤日数</t>
        </is>
      </c>
      <c r="C10" s="87" t="inlineStr">
        <is>
          <t>VLOOKUP(→月次集計C)</t>
        </is>
      </c>
      <c r="D10" s="87" t="inlineStr">
        <is>
          <t>月次集計から自動取得。出退勤入力「○」区分の日数。</t>
        </is>
      </c>
      <c r="E10" s="87" t="inlineStr">
        <is>
          <t>自動</t>
        </is>
      </c>
    </row>
    <row r="11" ht="40" customHeight="1">
      <c r="A11" s="80" t="inlineStr">
        <is>
          <t>F</t>
        </is>
      </c>
      <c r="B11" s="103" t="inlineStr">
        <is>
          <t>残業時間</t>
        </is>
      </c>
      <c r="C11" s="87" t="inlineStr">
        <is>
          <t>VLOOKUP(→月次集計H)</t>
        </is>
      </c>
      <c r="D11" s="87" t="inlineStr">
        <is>
          <t>月次集計から自動取得。出退勤入力J列の月合計。</t>
        </is>
      </c>
      <c r="E11" s="87" t="inlineStr">
        <is>
          <t>自動</t>
        </is>
      </c>
    </row>
    <row r="12" ht="40" customHeight="1">
      <c r="A12" s="80" t="inlineStr">
        <is>
          <t>G</t>
        </is>
      </c>
      <c r="B12" s="103" t="inlineStr">
        <is>
          <t>有給日数</t>
        </is>
      </c>
      <c r="C12" s="87" t="inlineStr">
        <is>
          <t>VLOOKUP(→月次集計E)</t>
        </is>
      </c>
      <c r="D12" s="87" t="inlineStr">
        <is>
          <t>月次集計から自動取得。「有給」区分のカウント。</t>
        </is>
      </c>
      <c r="E12" s="87" t="inlineStr">
        <is>
          <t>自動</t>
        </is>
      </c>
    </row>
    <row r="13" ht="40" customHeight="1">
      <c r="A13" s="80" t="inlineStr">
        <is>
          <t>H</t>
        </is>
      </c>
      <c r="B13" s="103" t="inlineStr">
        <is>
          <t>基本給支給額</t>
        </is>
      </c>
      <c r="C13" s="87" t="inlineStr">
        <is>
          <t>月給→D列固定
日給→D×E
時給→マスタG(時給)×月次集計T(実働時間)</t>
        </is>
      </c>
      <c r="D13" s="87" t="inlineStr">
        <is>
          <t>C列の雇用区分に応じて自動切替。時給制のみ月次集計T列（実働時間合計）を使用する。</t>
        </is>
      </c>
      <c r="E13" s="87" t="inlineStr">
        <is>
          <t>自動</t>
        </is>
      </c>
    </row>
    <row r="14" ht="40" customHeight="1">
      <c r="A14" s="80" t="inlineStr">
        <is>
          <t>I</t>
        </is>
      </c>
      <c r="B14" s="103" t="inlineStr">
        <is>
          <t>残業手当</t>
        </is>
      </c>
      <c r="C14" s="87" t="inlineStr">
        <is>
          <t>マスタG(時給)×F(残業時間)×1.25</t>
        </is>
      </c>
      <c r="D14" s="87" t="inlineStr">
        <is>
          <t>法定残業割増25%込み。時間単価はマスタG列から自動取得。</t>
        </is>
      </c>
      <c r="E14" s="87" t="inlineStr">
        <is>
          <t>自動</t>
        </is>
      </c>
    </row>
    <row r="15" ht="40" customHeight="1">
      <c r="A15" s="80" t="inlineStr">
        <is>
          <t>J</t>
        </is>
      </c>
      <c r="B15" s="104" t="inlineStr">
        <is>
          <t>手当合計
★手動入力</t>
        </is>
      </c>
      <c r="C15" s="87" t="inlineStr">
        <is>
          <t>★毎月手動入力</t>
        </is>
      </c>
      <c r="D15" s="87" t="inlineStr">
        <is>
          <t>現場手当・役職手当・通勤手当・実習生割増手当・欠勤控除（マイナス可）など。自動計算されない手当の合計をここに入力する。</t>
        </is>
      </c>
      <c r="E15" s="105" t="inlineStr">
        <is>
          <t>★毎月必ず確認・入力</t>
        </is>
      </c>
    </row>
    <row r="16" ht="40" customHeight="1">
      <c r="A16" s="80" t="inlineStr">
        <is>
          <t>K</t>
        </is>
      </c>
      <c r="B16" s="103" t="inlineStr">
        <is>
          <t>総支給額</t>
        </is>
      </c>
      <c r="C16" s="87" t="inlineStr">
        <is>
          <t>H+I+J</t>
        </is>
      </c>
      <c r="D16" s="87" t="inlineStr">
        <is>
          <t>基本給＋残業手当＋手当の合計（税・保険控除前の総額）。</t>
        </is>
      </c>
      <c r="E16" s="87" t="inlineStr">
        <is>
          <t>自動</t>
        </is>
      </c>
    </row>
    <row r="17" ht="40" customHeight="1">
      <c r="A17" s="80" t="inlineStr">
        <is>
          <t>L</t>
        </is>
      </c>
      <c r="B17" s="103" t="inlineStr">
        <is>
          <t>健康保険料</t>
        </is>
      </c>
      <c r="C17" s="87" t="inlineStr">
        <is>
          <t>VLOOKUP(マスタH列)</t>
        </is>
      </c>
      <c r="D17" s="87" t="inlineStr">
        <is>
          <t>協会けんぽ等の通知に基づく固定月額。改定時はマスタH列を更新。</t>
        </is>
      </c>
      <c r="E17" s="87" t="inlineStr">
        <is>
          <t>自動（マスタ連動）</t>
        </is>
      </c>
    </row>
    <row r="18" ht="40" customHeight="1">
      <c r="A18" s="80" t="inlineStr">
        <is>
          <t>M</t>
        </is>
      </c>
      <c r="B18" s="103" t="inlineStr">
        <is>
          <t>厚生年金</t>
        </is>
      </c>
      <c r="C18" s="87" t="inlineStr">
        <is>
          <t>VLOOKUP(マスタI列)</t>
        </is>
      </c>
      <c r="D18" s="87" t="inlineStr">
        <is>
          <t>厚生年金の従業員負担分（固定）。毎年9月改定。</t>
        </is>
      </c>
      <c r="E18" s="87" t="inlineStr">
        <is>
          <t>自動（マスタ連動）</t>
        </is>
      </c>
    </row>
    <row r="19" ht="40" customHeight="1">
      <c r="A19" s="80" t="inlineStr">
        <is>
          <t>N</t>
        </is>
      </c>
      <c r="B19" s="103" t="inlineStr">
        <is>
          <t>雇用保険料</t>
        </is>
      </c>
      <c r="C19" s="87" t="inlineStr">
        <is>
          <t>ROUND(K×マスタJ（雇用保険率）,0)</t>
        </is>
      </c>
      <c r="D19" s="87" t="inlineStr">
        <is>
          <t>総支給額×0.6%（令和6年度）。役員・家族はマスタJ列が0のため0円。</t>
        </is>
      </c>
      <c r="E19" s="87" t="inlineStr">
        <is>
          <t>自動</t>
        </is>
      </c>
    </row>
    <row r="20" ht="40" customHeight="1">
      <c r="A20" s="80" t="inlineStr">
        <is>
          <t>O</t>
        </is>
      </c>
      <c r="B20" s="103" t="inlineStr">
        <is>
          <t>所得税</t>
        </is>
      </c>
      <c r="C20" s="87" t="inlineStr">
        <is>
          <t>VLOOKUP(マスタK列)</t>
        </is>
      </c>
      <c r="D20" s="87" t="inlineStr">
        <is>
          <t>源泉徴収税額表に基づく月額固定。年末調整で精算。</t>
        </is>
      </c>
      <c r="E20" s="87" t="inlineStr">
        <is>
          <t>自動（マスタ連動）</t>
        </is>
      </c>
    </row>
    <row r="21" ht="40" customHeight="1">
      <c r="A21" s="80" t="inlineStr">
        <is>
          <t>P</t>
        </is>
      </c>
      <c r="B21" s="103" t="inlineStr">
        <is>
          <t>控除後支給額
(住民税前)</t>
        </is>
      </c>
      <c r="C21" s="87" t="inlineStr">
        <is>
          <t>K-L-M-N-O</t>
        </is>
      </c>
      <c r="D21" s="87" t="inlineStr">
        <is>
          <t>健保・厚生・雇用・所得税を引いた後の金額。住民税・友愛会費はまだ含まない。</t>
        </is>
      </c>
      <c r="E21" s="87" t="inlineStr">
        <is>
          <t>自動</t>
        </is>
      </c>
    </row>
    <row r="22" ht="40" customHeight="1">
      <c r="A22" s="80" t="inlineStr">
        <is>
          <t>Q</t>
        </is>
      </c>
      <c r="B22" s="103" t="inlineStr">
        <is>
          <t>住民税</t>
        </is>
      </c>
      <c r="C22" s="87" t="inlineStr">
        <is>
          <t>VLOOKUP(マスタL列)</t>
        </is>
      </c>
      <c r="D22" s="87" t="inlineStr">
        <is>
          <t>市区町村の特別徴収通知書の金額（固定）。★毎年6月に必ず更新すること。</t>
        </is>
      </c>
      <c r="E22" s="105" t="inlineStr">
        <is>
          <t>自動（★毎年6月にマスタL列要更新）</t>
        </is>
      </c>
    </row>
    <row r="23" ht="40" customHeight="1">
      <c r="A23" s="80" t="inlineStr">
        <is>
          <t>R</t>
        </is>
      </c>
      <c r="B23" s="103" t="inlineStr">
        <is>
          <t>友愛会費</t>
        </is>
      </c>
      <c r="C23" s="87" t="inlineStr">
        <is>
          <t>VLOOKUP(マスタM列)</t>
        </is>
      </c>
      <c r="D23" s="87" t="inlineStr">
        <is>
          <t>会社の福利厚生費（固定）。通常3,000円。マスタM列に記録。</t>
        </is>
      </c>
      <c r="E23" s="87" t="inlineStr">
        <is>
          <t>自動（マスタ連動）</t>
        </is>
      </c>
    </row>
    <row r="24" ht="40" customHeight="1">
      <c r="A24" s="80" t="inlineStr">
        <is>
          <t>S</t>
        </is>
      </c>
      <c r="B24" s="104" t="inlineStr">
        <is>
          <t>立替金
★手動入力</t>
        </is>
      </c>
      <c r="C24" s="87" t="inlineStr">
        <is>
          <t>★毎月確認・手動入力</t>
        </is>
      </c>
      <c r="D24" s="87" t="inlineStr">
        <is>
          <t>個人立替費用の回収額。通常0円。ガソリン代等の立替がある月のみ入力する。</t>
        </is>
      </c>
      <c r="E24" s="105" t="inlineStr">
        <is>
          <t>★発生月のみ入力</t>
        </is>
      </c>
    </row>
    <row r="25" ht="40" customHeight="1">
      <c r="A25" s="80" t="inlineStr">
        <is>
          <t>T</t>
        </is>
      </c>
      <c r="B25" s="103" t="inlineStr">
        <is>
          <t>手取金額（最終）</t>
        </is>
      </c>
      <c r="C25" s="87" t="inlineStr">
        <is>
          <t>P-Q-R-S</t>
        </is>
      </c>
      <c r="D25" s="87" t="inlineStr">
        <is>
          <t>実際の支払金額。住民税・友愛会費・立替金を全て差し引いた後の最終額。</t>
        </is>
      </c>
      <c r="E25" s="87" t="inlineStr">
        <is>
          <t>自動</t>
        </is>
      </c>
    </row>
    <row r="28" ht="25" customHeight="1">
      <c r="A28" s="78" t="inlineStr">
        <is>
          <t>■ 出退勤入力　出勤区分コードの意味と給与計算への影響</t>
        </is>
      </c>
      <c r="B28" s="75" t="n"/>
      <c r="C28" s="75" t="n"/>
      <c r="D28" s="75" t="n"/>
      <c r="E28" s="76" t="n"/>
    </row>
    <row r="29" ht="22" customHeight="1">
      <c r="A29" s="79" t="inlineStr">
        <is>
          <t>区分コード</t>
        </is>
      </c>
      <c r="B29" s="79" t="inlineStr">
        <is>
          <t>意味</t>
        </is>
      </c>
      <c r="C29" s="79" t="inlineStr">
        <is>
          <t>日数カウント先</t>
        </is>
      </c>
      <c r="D29" s="79" t="inlineStr">
        <is>
          <t>給与計算での扱い</t>
        </is>
      </c>
      <c r="E29" s="79" t="inlineStr">
        <is>
          <t>使い方の例</t>
        </is>
      </c>
    </row>
    <row r="30" ht="35" customHeight="1">
      <c r="A30" s="80" t="inlineStr">
        <is>
          <t>○</t>
        </is>
      </c>
      <c r="B30" s="95" t="inlineStr">
        <is>
          <t>通常出勤</t>
        </is>
      </c>
      <c r="C30" s="82" t="inlineStr">
        <is>
          <t>C列（出勤日数）</t>
        </is>
      </c>
      <c r="D30" s="82" t="inlineStr">
        <is>
          <t>日給制：C列×日給単価が基本給。時給制：実働時間から給与計算。月給制：固定給のため影響なし。</t>
        </is>
      </c>
      <c r="E30" s="82" t="inlineStr">
        <is>
          <t>普通に出勤した日は全て「○」</t>
        </is>
      </c>
    </row>
    <row r="31" ht="35" customHeight="1">
      <c r="A31" s="80" t="inlineStr">
        <is>
          <t>△</t>
        </is>
      </c>
      <c r="B31" s="97" t="inlineStr">
        <is>
          <t>半日出勤</t>
        </is>
      </c>
      <c r="C31" s="87" t="inlineStr">
        <is>
          <t>D列（半日出勤）</t>
        </is>
      </c>
      <c r="D31" s="87" t="inlineStr">
        <is>
          <t>日給制：0.5日分として計算。時給制：実働時間から4時間として計算。</t>
        </is>
      </c>
      <c r="E31" s="87" t="inlineStr">
        <is>
          <t>午前のみ・午後のみ出勤の場合</t>
        </is>
      </c>
    </row>
    <row r="32" ht="35" customHeight="1">
      <c r="A32" s="80" t="inlineStr">
        <is>
          <t>出</t>
        </is>
      </c>
      <c r="B32" s="95" t="inlineStr">
        <is>
          <t>休日出勤</t>
        </is>
      </c>
      <c r="C32" s="82" t="inlineStr">
        <is>
          <t>F列（休日出勤）</t>
        </is>
      </c>
      <c r="D32" s="82" t="inlineStr">
        <is>
          <t>基本給の計算外。法定休日は日給×1.35倍以上の割増手当をJ列に手入力する。</t>
        </is>
      </c>
      <c r="E32" s="82" t="inlineStr">
        <is>
          <t>土日・祝日に出勤した場合</t>
        </is>
      </c>
    </row>
    <row r="33" ht="35" customHeight="1">
      <c r="A33" s="80" t="inlineStr">
        <is>
          <t>有給</t>
        </is>
      </c>
      <c r="B33" s="97" t="inlineStr">
        <is>
          <t>有給休暇</t>
        </is>
      </c>
      <c r="C33" s="87" t="inlineStr">
        <is>
          <t>E列（有給日数）</t>
        </is>
      </c>
      <c r="D33" s="87" t="inlineStr">
        <is>
          <t>日給制でも1日分の給与が保証される。有給消化記録として年間管理が必要。</t>
        </is>
      </c>
      <c r="E33" s="87" t="inlineStr">
        <is>
          <t>有給休暇を取得した日</t>
        </is>
      </c>
    </row>
    <row r="34" ht="35" customHeight="1">
      <c r="A34" s="80" t="inlineStr">
        <is>
          <t>欠勤</t>
        </is>
      </c>
      <c r="B34" s="95" t="inlineStr">
        <is>
          <t>欠勤</t>
        </is>
      </c>
      <c r="C34" s="82" t="inlineStr">
        <is>
          <t>G列（欠勤日数）</t>
        </is>
      </c>
      <c r="D34" s="82" t="inlineStr">
        <is>
          <t>月給制・実習生：欠勤控除が必要（J列でマイナス入力）。日給制：出勤していないため給与なし。</t>
        </is>
      </c>
      <c r="E34" s="82" t="inlineStr">
        <is>
          <t>無断欠勤・届出欠勤の場合</t>
        </is>
      </c>
    </row>
  </sheetData>
  <mergeCells count="4">
    <mergeCell ref="A2:E2"/>
    <mergeCell ref="A28:E28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baseColWidth="8" defaultColWidth="8.6640625" defaultRowHeight="14.4"/>
  <cols>
    <col width="10" customWidth="1" min="1" max="1"/>
    <col width="18" customWidth="1" min="2" max="3"/>
    <col width="10" customWidth="1" min="4" max="5"/>
    <col width="12" customWidth="1" min="6" max="6"/>
    <col width="10" customWidth="1" min="7" max="7"/>
    <col width="12" customWidth="1" min="8" max="9"/>
    <col width="10" customWidth="1" min="10" max="13"/>
    <col width="12" customWidth="1" min="14" max="14"/>
    <col width="20" customWidth="1" min="15" max="15"/>
  </cols>
  <sheetData>
    <row r="1" ht="36" customHeight="1">
      <c r="A1" s="106" t="inlineStr">
        <is>
          <t>有限会社 東輝　従業員マスタ　★黄色行=毎月確認　★住民税(L列)は毎年6月更新　★保険料(H・I列)は改定通知後に更新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</row>
    <row r="2" ht="42" customHeight="1">
      <c r="A2" s="1" t="inlineStr">
        <is>
          <t>社員ID</t>
        </is>
      </c>
      <c r="B2" s="1" t="inlineStr">
        <is>
          <t>氏名</t>
        </is>
      </c>
      <c r="C2" s="1" t="inlineStr">
        <is>
          <t>氏名カナ</t>
        </is>
      </c>
      <c r="D2" s="1" t="inlineStr">
        <is>
          <t>雇用区分</t>
        </is>
      </c>
      <c r="E2" s="1" t="inlineStr">
        <is>
          <t>在籍状況</t>
        </is>
      </c>
      <c r="F2" s="1" t="inlineStr">
        <is>
          <t>基本給
/日給単価</t>
        </is>
      </c>
      <c r="G2" s="1" t="inlineStr">
        <is>
          <t>時間単価</t>
        </is>
      </c>
      <c r="H2" s="1" t="inlineStr">
        <is>
          <t>健康保険</t>
        </is>
      </c>
      <c r="I2" s="1" t="inlineStr">
        <is>
          <t>厚生年金</t>
        </is>
      </c>
      <c r="J2" s="1" t="inlineStr">
        <is>
          <t>雇用保険率</t>
        </is>
      </c>
      <c r="K2" s="1" t="inlineStr">
        <is>
          <t>所得税</t>
        </is>
      </c>
      <c r="L2" s="1" t="inlineStr">
        <is>
          <t>住民税</t>
        </is>
      </c>
      <c r="M2" s="1" t="inlineStr">
        <is>
          <t>友愛会</t>
        </is>
      </c>
      <c r="N2" s="1" t="inlineStr">
        <is>
          <t>入社日</t>
        </is>
      </c>
      <c r="O2" s="1" t="inlineStr">
        <is>
          <t>備考</t>
        </is>
      </c>
    </row>
    <row r="3" ht="21.75" customHeight="1">
      <c r="A3" s="2" t="inlineStr">
        <is>
          <t>EMP001</t>
        </is>
      </c>
      <c r="B3" s="3" t="inlineStr">
        <is>
          <t>中原 健作</t>
        </is>
      </c>
      <c r="C3" s="3" t="inlineStr">
        <is>
          <t>ナカハラ ケンサク</t>
        </is>
      </c>
      <c r="D3" s="4" t="inlineStr">
        <is>
          <t>月給</t>
        </is>
      </c>
      <c r="E3" s="4" t="inlineStr">
        <is>
          <t>在籍</t>
        </is>
      </c>
      <c r="F3" s="5" t="n">
        <v>460000</v>
      </c>
      <c r="G3" s="5" t="n"/>
      <c r="H3" s="5" t="inlineStr">
        <is>
          <t>27565</t>
        </is>
      </c>
      <c r="I3" s="5" t="inlineStr">
        <is>
          <t>43005</t>
        </is>
      </c>
      <c r="J3" s="108" t="n">
        <v>0</v>
      </c>
      <c r="K3" s="5" t="n">
        <v>14920</v>
      </c>
      <c r="L3" s="5" t="n">
        <v>21800</v>
      </c>
      <c r="M3" s="5" t="n">
        <v>3000</v>
      </c>
      <c r="N3" s="2" t="inlineStr">
        <is>
          <t>2010/04/01</t>
        </is>
      </c>
      <c r="O3" s="3" t="n"/>
    </row>
    <row r="4" ht="21.75" customHeight="1">
      <c r="A4" s="7" t="inlineStr">
        <is>
          <t>EMP002</t>
        </is>
      </c>
      <c r="B4" s="8" t="inlineStr">
        <is>
          <t>中原 義範</t>
        </is>
      </c>
      <c r="C4" s="8" t="inlineStr">
        <is>
          <t>ナカハラ ヨシノリ</t>
        </is>
      </c>
      <c r="D4" s="9" t="inlineStr">
        <is>
          <t>月給</t>
        </is>
      </c>
      <c r="E4" s="9" t="inlineStr">
        <is>
          <t>在籍</t>
        </is>
      </c>
      <c r="F4" s="10" t="n">
        <v>400000</v>
      </c>
      <c r="G4" s="10" t="n"/>
      <c r="H4" s="10" t="inlineStr">
        <is>
          <t>20725</t>
        </is>
      </c>
      <c r="I4" s="10" t="inlineStr">
        <is>
          <t>37515</t>
        </is>
      </c>
      <c r="J4" s="109" t="n">
        <v>0</v>
      </c>
      <c r="K4" s="10" t="n">
        <v>23290</v>
      </c>
      <c r="L4" s="10" t="n">
        <v>12300</v>
      </c>
      <c r="M4" s="10" t="n">
        <v>3000</v>
      </c>
      <c r="N4" s="7" t="inlineStr">
        <is>
          <t>2008/04/01</t>
        </is>
      </c>
      <c r="O4" s="8" t="n"/>
    </row>
    <row r="5" ht="21.75" customHeight="1">
      <c r="A5" s="2" t="inlineStr">
        <is>
          <t>EMP003</t>
        </is>
      </c>
      <c r="B5" s="3" t="inlineStr">
        <is>
          <t>有田 忍</t>
        </is>
      </c>
      <c r="C5" s="3" t="inlineStr">
        <is>
          <t>アリタ シノブ</t>
        </is>
      </c>
      <c r="D5" s="4" t="inlineStr">
        <is>
          <t>日給</t>
        </is>
      </c>
      <c r="E5" s="4" t="inlineStr">
        <is>
          <t>在籍</t>
        </is>
      </c>
      <c r="F5" s="5" t="n">
        <v>13000</v>
      </c>
      <c r="G5" s="5" t="n">
        <v>1625</v>
      </c>
      <c r="H5" s="5" t="inlineStr">
        <is>
          <t>17595</t>
        </is>
      </c>
      <c r="I5" s="5" t="inlineStr">
        <is>
          <t>27450</t>
        </is>
      </c>
      <c r="J5" s="108" t="n">
        <v>0.006</v>
      </c>
      <c r="K5" s="5" t="n">
        <v>7180</v>
      </c>
      <c r="L5" s="5" t="n">
        <v>13700</v>
      </c>
      <c r="M5" s="5" t="n">
        <v>3000</v>
      </c>
      <c r="N5" s="2" t="inlineStr">
        <is>
          <t>2012/06/01</t>
        </is>
      </c>
      <c r="O5" s="3" t="n"/>
    </row>
    <row r="6" ht="21.75" customHeight="1">
      <c r="A6" s="7" t="inlineStr">
        <is>
          <t>EMP004</t>
        </is>
      </c>
      <c r="B6" s="8" t="inlineStr">
        <is>
          <t>中原 裟也茄</t>
        </is>
      </c>
      <c r="C6" s="8" t="inlineStr">
        <is>
          <t>ナカハラ サヤカ</t>
        </is>
      </c>
      <c r="D6" s="9" t="inlineStr">
        <is>
          <t>日給</t>
        </is>
      </c>
      <c r="E6" s="9" t="inlineStr">
        <is>
          <t>在籍</t>
        </is>
      </c>
      <c r="F6" s="10" t="n">
        <v>14000</v>
      </c>
      <c r="G6" s="10" t="n">
        <v>1750</v>
      </c>
      <c r="H6" s="10" t="inlineStr">
        <is>
          <t>15165</t>
        </is>
      </c>
      <c r="I6" s="10" t="inlineStr">
        <is>
          <t>27450</t>
        </is>
      </c>
      <c r="J6" s="109" t="n">
        <v>0.006</v>
      </c>
      <c r="K6" s="10" t="n">
        <v>7930</v>
      </c>
      <c r="L6" s="10" t="n">
        <v>17000</v>
      </c>
      <c r="M6" s="10" t="n">
        <v>3000</v>
      </c>
      <c r="N6" s="7" t="inlineStr">
        <is>
          <t>2015/04/01</t>
        </is>
      </c>
      <c r="O6" s="8" t="n"/>
    </row>
    <row r="7" ht="21.75" customHeight="1">
      <c r="A7" s="2" t="inlineStr">
        <is>
          <t>EMP005</t>
        </is>
      </c>
      <c r="B7" s="3" t="inlineStr">
        <is>
          <t>廣瀬 伸二</t>
        </is>
      </c>
      <c r="C7" s="3" t="inlineStr">
        <is>
          <t>ヒロセ シンジ</t>
        </is>
      </c>
      <c r="D7" s="4" t="inlineStr">
        <is>
          <t>月給</t>
        </is>
      </c>
      <c r="E7" s="4" t="inlineStr">
        <is>
          <t>在籍</t>
        </is>
      </c>
      <c r="F7" s="5" t="n"/>
      <c r="G7" s="5" t="n"/>
      <c r="H7" s="5" t="n"/>
      <c r="I7" s="5" t="n"/>
      <c r="J7" s="108" t="n">
        <v>0.006</v>
      </c>
      <c r="K7" s="5" t="n"/>
      <c r="L7" s="5" t="n"/>
      <c r="M7" s="5" t="n"/>
      <c r="N7" s="2" t="n"/>
      <c r="O7" s="3" t="n"/>
    </row>
    <row r="8" ht="21.75" customHeight="1">
      <c r="A8" s="7" t="inlineStr">
        <is>
          <t>EMP006</t>
        </is>
      </c>
      <c r="B8" s="8" t="inlineStr">
        <is>
          <t>山田 一光</t>
        </is>
      </c>
      <c r="C8" s="8" t="inlineStr">
        <is>
          <t>ヤマダ カズミツ</t>
        </is>
      </c>
      <c r="D8" s="9" t="inlineStr">
        <is>
          <t>日給</t>
        </is>
      </c>
      <c r="E8" s="9" t="inlineStr">
        <is>
          <t>在籍</t>
        </is>
      </c>
      <c r="F8" s="10" t="n">
        <v>11000</v>
      </c>
      <c r="G8" s="10" t="n">
        <v>1375</v>
      </c>
      <c r="H8" s="10" t="inlineStr">
        <is>
          <t>0</t>
        </is>
      </c>
      <c r="I8" s="10" t="inlineStr">
        <is>
          <t>0</t>
        </is>
      </c>
      <c r="J8" s="109" t="n">
        <v>0.006</v>
      </c>
      <c r="K8" s="10" t="n">
        <v>0</v>
      </c>
      <c r="L8" s="10" t="n">
        <v>3800</v>
      </c>
      <c r="M8" s="10" t="n">
        <v>3000</v>
      </c>
      <c r="N8" s="7" t="inlineStr">
        <is>
          <t>2018/04/01</t>
        </is>
      </c>
      <c r="O8" s="8" t="n"/>
    </row>
    <row r="9" ht="21.75" customHeight="1">
      <c r="A9" s="2" t="inlineStr">
        <is>
          <t>EMP007</t>
        </is>
      </c>
      <c r="B9" s="3" t="inlineStr">
        <is>
          <t>中原 宏</t>
        </is>
      </c>
      <c r="C9" s="3" t="inlineStr">
        <is>
          <t>ナカハラ ヒロシ</t>
        </is>
      </c>
      <c r="D9" s="4" t="inlineStr">
        <is>
          <t>日給</t>
        </is>
      </c>
      <c r="E9" s="4" t="inlineStr">
        <is>
          <t>在籍</t>
        </is>
      </c>
      <c r="F9" s="5" t="n">
        <v>12000</v>
      </c>
      <c r="G9" s="5" t="n">
        <v>1500</v>
      </c>
      <c r="H9" s="5" t="inlineStr">
        <is>
          <t>12132</t>
        </is>
      </c>
      <c r="I9" s="5" t="inlineStr">
        <is>
          <t>21960</t>
        </is>
      </c>
      <c r="J9" s="108" t="n">
        <v>0.006</v>
      </c>
      <c r="K9" s="5" t="n">
        <v>4050</v>
      </c>
      <c r="L9" s="5" t="n">
        <v>0</v>
      </c>
      <c r="M9" s="5" t="n">
        <v>3000</v>
      </c>
      <c r="N9" s="2" t="inlineStr">
        <is>
          <t>2019/04/01</t>
        </is>
      </c>
      <c r="O9" s="3" t="n"/>
    </row>
    <row r="10" ht="21.75" customHeight="1">
      <c r="A10" s="7" t="inlineStr">
        <is>
          <t>EMP008</t>
        </is>
      </c>
      <c r="B10" s="8" t="inlineStr">
        <is>
          <t>アルフィアン ソレフル ハディ</t>
        </is>
      </c>
      <c r="C10" s="8" t="inlineStr">
        <is>
          <t>アルフィアン</t>
        </is>
      </c>
      <c r="D10" s="9" t="inlineStr">
        <is>
          <t>月給</t>
        </is>
      </c>
      <c r="E10" s="9" t="inlineStr">
        <is>
          <t>在籍</t>
        </is>
      </c>
      <c r="F10" s="10" t="n">
        <v>216667</v>
      </c>
      <c r="G10" s="10" t="n">
        <v>1250</v>
      </c>
      <c r="H10" s="10" t="inlineStr">
        <is>
          <t>9604</t>
        </is>
      </c>
      <c r="I10" s="10" t="inlineStr">
        <is>
          <t>17385</t>
        </is>
      </c>
      <c r="J10" s="109" t="n">
        <v>0.006</v>
      </c>
      <c r="K10" s="10" t="n">
        <v>3550</v>
      </c>
      <c r="L10" s="10" t="n">
        <v>1200</v>
      </c>
      <c r="M10" s="10" t="n"/>
      <c r="N10" s="7" t="n"/>
      <c r="O10" s="8" t="inlineStr">
        <is>
          <t>実習生</t>
        </is>
      </c>
    </row>
    <row r="11" ht="21.75" customHeight="1">
      <c r="A11" s="2" t="inlineStr">
        <is>
          <t>EMP009</t>
        </is>
      </c>
      <c r="B11" s="3" t="inlineStr">
        <is>
          <t>ムハンマド ヨザテュル イスラム</t>
        </is>
      </c>
      <c r="C11" s="3" t="inlineStr">
        <is>
          <t>ヨザ</t>
        </is>
      </c>
      <c r="D11" s="4" t="inlineStr">
        <is>
          <t>月給</t>
        </is>
      </c>
      <c r="E11" s="4" t="inlineStr">
        <is>
          <t>在籍</t>
        </is>
      </c>
      <c r="F11" s="5" t="n">
        <v>216667</v>
      </c>
      <c r="G11" s="5" t="n">
        <v>1250</v>
      </c>
      <c r="H11" s="5" t="inlineStr">
        <is>
          <t>9604</t>
        </is>
      </c>
      <c r="I11" s="5" t="inlineStr">
        <is>
          <t>17385</t>
        </is>
      </c>
      <c r="J11" s="108" t="n">
        <v>0.006</v>
      </c>
      <c r="K11" s="5" t="n">
        <v>1940</v>
      </c>
      <c r="L11" s="5" t="n">
        <v>1200</v>
      </c>
      <c r="M11" s="5" t="n"/>
      <c r="N11" s="2" t="n"/>
      <c r="O11" s="3" t="inlineStr">
        <is>
          <t>実習生</t>
        </is>
      </c>
    </row>
    <row r="12" ht="21.75" customHeight="1">
      <c r="A12" s="7" t="inlineStr">
        <is>
          <t>EMP010</t>
        </is>
      </c>
      <c r="B12" s="8" t="inlineStr">
        <is>
          <t>リズキ ノビアント</t>
        </is>
      </c>
      <c r="C12" s="8" t="inlineStr">
        <is>
          <t>リズキ</t>
        </is>
      </c>
      <c r="D12" s="9" t="inlineStr">
        <is>
          <t>月給</t>
        </is>
      </c>
      <c r="E12" s="9" t="inlineStr">
        <is>
          <t>在籍</t>
        </is>
      </c>
      <c r="F12" s="10" t="n">
        <v>183214</v>
      </c>
      <c r="G12" s="10" t="n">
        <v>1057</v>
      </c>
      <c r="H12" s="10" t="inlineStr">
        <is>
          <t>8593</t>
        </is>
      </c>
      <c r="I12" s="10" t="inlineStr">
        <is>
          <t>15555</t>
        </is>
      </c>
      <c r="J12" s="109" t="n">
        <v>0.006</v>
      </c>
      <c r="K12" s="10" t="n">
        <v>910</v>
      </c>
      <c r="L12" s="10" t="n">
        <v>0</v>
      </c>
      <c r="M12" s="10" t="n"/>
      <c r="N12" s="7" t="n"/>
      <c r="O12" s="8" t="inlineStr">
        <is>
          <t>実習生</t>
        </is>
      </c>
    </row>
    <row r="13" ht="21.75" customHeight="1">
      <c r="A13" s="2" t="inlineStr">
        <is>
          <t>EMP011</t>
        </is>
      </c>
      <c r="B13" s="3" t="inlineStr">
        <is>
          <t>ディマス サトリオ ブアナ</t>
        </is>
      </c>
      <c r="C13" s="3" t="inlineStr">
        <is>
          <t>ディマス</t>
        </is>
      </c>
      <c r="D13" s="4" t="inlineStr">
        <is>
          <t>月給</t>
        </is>
      </c>
      <c r="E13" s="4" t="inlineStr">
        <is>
          <t>在籍</t>
        </is>
      </c>
      <c r="F13" s="5" t="n">
        <v>183214</v>
      </c>
      <c r="G13" s="5" t="n">
        <v>1057</v>
      </c>
      <c r="H13" s="5" t="inlineStr">
        <is>
          <t>8593</t>
        </is>
      </c>
      <c r="I13" s="5" t="inlineStr">
        <is>
          <t>15555</t>
        </is>
      </c>
      <c r="J13" s="108" t="n">
        <v>0.006</v>
      </c>
      <c r="K13" s="5" t="n">
        <v>810</v>
      </c>
      <c r="L13" s="5" t="n">
        <v>0</v>
      </c>
      <c r="M13" s="5" t="n"/>
      <c r="N13" s="2" t="n"/>
      <c r="O13" s="3" t="inlineStr">
        <is>
          <t>実習生</t>
        </is>
      </c>
    </row>
    <row r="14" ht="21.75" customHeight="1">
      <c r="A14" s="7" t="inlineStr">
        <is>
          <t>EMP012</t>
        </is>
      </c>
      <c r="B14" s="8" t="inlineStr">
        <is>
          <t>山田 ユカリ</t>
        </is>
      </c>
      <c r="C14" s="8" t="inlineStr">
        <is>
          <t>ヤマダ ユカリ</t>
        </is>
      </c>
      <c r="D14" s="9" t="inlineStr">
        <is>
          <t>時給</t>
        </is>
      </c>
      <c r="E14" s="9" t="inlineStr">
        <is>
          <t>在籍</t>
        </is>
      </c>
      <c r="F14" s="10" t="n"/>
      <c r="G14" s="10" t="n">
        <v>1429</v>
      </c>
      <c r="H14" s="10" t="n"/>
      <c r="I14" s="10" t="n"/>
      <c r="J14" s="109" t="n">
        <v>0.006</v>
      </c>
      <c r="K14" s="10" t="n"/>
      <c r="L14" s="10" t="n"/>
      <c r="M14" s="10" t="n"/>
      <c r="N14" s="7" t="n"/>
      <c r="O14" s="8" t="n"/>
    </row>
    <row r="15" ht="21.75" customHeight="1">
      <c r="A15" s="2" t="inlineStr">
        <is>
          <t>EMP013</t>
        </is>
      </c>
      <c r="B15" s="3" t="inlineStr">
        <is>
          <t>菊川 裕美</t>
        </is>
      </c>
      <c r="C15" s="3" t="inlineStr">
        <is>
          <t>キクカワ ユミ</t>
        </is>
      </c>
      <c r="D15" s="4" t="inlineStr">
        <is>
          <t>時給</t>
        </is>
      </c>
      <c r="E15" s="4" t="inlineStr">
        <is>
          <t>在籍</t>
        </is>
      </c>
      <c r="F15" s="5" t="n"/>
      <c r="G15" s="5" t="n">
        <v>1100</v>
      </c>
      <c r="H15" s="5" t="n"/>
      <c r="I15" s="5" t="n"/>
      <c r="J15" s="108" t="n">
        <v>0.006</v>
      </c>
      <c r="K15" s="5" t="n"/>
      <c r="L15" s="5" t="n"/>
      <c r="M15" s="5" t="n"/>
      <c r="N15" s="2" t="n"/>
      <c r="O15" s="3" t="n"/>
    </row>
    <row r="16" ht="21.75" customHeight="1">
      <c r="A16" s="7" t="inlineStr">
        <is>
          <t>EMP014</t>
        </is>
      </c>
      <c r="B16" s="8" t="inlineStr">
        <is>
          <t>中島 孝信</t>
        </is>
      </c>
      <c r="C16" s="8" t="inlineStr">
        <is>
          <t>ナカシマ タカノブ</t>
        </is>
      </c>
      <c r="D16" s="9" t="inlineStr">
        <is>
          <t>月給</t>
        </is>
      </c>
      <c r="E16" s="9" t="inlineStr">
        <is>
          <t>在籍</t>
        </is>
      </c>
      <c r="F16" s="10" t="n">
        <v>300000</v>
      </c>
      <c r="G16" s="10" t="n"/>
      <c r="H16" s="10" t="inlineStr">
        <is>
          <t>0</t>
        </is>
      </c>
      <c r="I16" s="10" t="inlineStr">
        <is>
          <t>0</t>
        </is>
      </c>
      <c r="J16" s="109" t="n">
        <v>0.006</v>
      </c>
      <c r="K16" s="10" t="n">
        <v>7820</v>
      </c>
      <c r="L16" s="10" t="n">
        <v>0</v>
      </c>
      <c r="M16" s="10" t="n"/>
      <c r="N16" s="7" t="n"/>
      <c r="O16" s="8" t="inlineStr">
        <is>
          <t>年1回一括支払</t>
        </is>
      </c>
    </row>
    <row r="17" ht="21.75" customHeight="1">
      <c r="A17" s="2" t="inlineStr">
        <is>
          <t>EMP015</t>
        </is>
      </c>
      <c r="B17" s="3" t="inlineStr">
        <is>
          <t>中原 廣子</t>
        </is>
      </c>
      <c r="C17" s="3" t="inlineStr">
        <is>
          <t>ナカハラ ヒロコ</t>
        </is>
      </c>
      <c r="D17" s="4" t="inlineStr">
        <is>
          <t>月給</t>
        </is>
      </c>
      <c r="E17" s="4" t="inlineStr">
        <is>
          <t>在籍</t>
        </is>
      </c>
      <c r="F17" s="5" t="n">
        <v>60000</v>
      </c>
      <c r="G17" s="5" t="n"/>
      <c r="H17" s="5" t="inlineStr">
        <is>
          <t>0</t>
        </is>
      </c>
      <c r="I17" s="5" t="inlineStr">
        <is>
          <t>0</t>
        </is>
      </c>
      <c r="J17" s="108" t="n">
        <v>0</v>
      </c>
      <c r="K17" s="5" t="n">
        <v>0</v>
      </c>
      <c r="L17" s="5" t="n">
        <v>0</v>
      </c>
      <c r="M17" s="5" t="n"/>
      <c r="N17" s="2" t="n"/>
      <c r="O17" s="3" t="n"/>
    </row>
    <row r="18" ht="21.75" customHeight="1">
      <c r="A18" s="7" t="inlineStr">
        <is>
          <t>EMP016</t>
        </is>
      </c>
      <c r="B18" s="8" t="inlineStr">
        <is>
          <t>畑野 浩次</t>
        </is>
      </c>
      <c r="C18" s="8" t="inlineStr">
        <is>
          <t>ハタノ コウジ</t>
        </is>
      </c>
      <c r="D18" s="9" t="inlineStr">
        <is>
          <t>月給</t>
        </is>
      </c>
      <c r="E18" s="9" t="inlineStr">
        <is>
          <t>在籍</t>
        </is>
      </c>
      <c r="F18" s="10" t="n">
        <v>200000</v>
      </c>
      <c r="G18" s="10" t="n"/>
      <c r="H18" s="10" t="n"/>
      <c r="I18" s="10" t="n"/>
      <c r="J18" s="109" t="n">
        <v>0.006</v>
      </c>
      <c r="K18" s="10" t="n"/>
      <c r="L18" s="10" t="n"/>
      <c r="M18" s="10" t="n"/>
      <c r="N18" s="7" t="n"/>
      <c r="O18" s="8" t="n"/>
    </row>
    <row r="19" ht="21.75" customHeight="1">
      <c r="A19" s="2" t="inlineStr">
        <is>
          <t>EMP017</t>
        </is>
      </c>
      <c r="B19" s="3" t="inlineStr">
        <is>
          <t>濱津 紀子</t>
        </is>
      </c>
      <c r="C19" s="3" t="inlineStr">
        <is>
          <t>ハマツ ノリコ</t>
        </is>
      </c>
      <c r="D19" s="4" t="inlineStr">
        <is>
          <t>時給</t>
        </is>
      </c>
      <c r="E19" s="4" t="inlineStr">
        <is>
          <t>在籍</t>
        </is>
      </c>
      <c r="F19" s="5" t="n"/>
      <c r="G19" s="5" t="n">
        <v>1057</v>
      </c>
      <c r="H19" s="5" t="n"/>
      <c r="I19" s="5" t="n"/>
      <c r="J19" s="108" t="n">
        <v>0.006</v>
      </c>
      <c r="K19" s="5" t="n"/>
      <c r="L19" s="5" t="n"/>
      <c r="M19" s="5" t="n"/>
      <c r="N19" s="2" t="n"/>
      <c r="O19" s="3" t="n"/>
    </row>
  </sheetData>
  <mergeCells count="1">
    <mergeCell ref="A1:O1"/>
  </mergeCells>
  <dataValidations count="2">
    <dataValidation sqref="D3:D100" showDropDown="0" showInputMessage="0" showErrorMessage="0" allowBlank="1" type="list">
      <formula1>"月給,日給,時給"</formula1>
      <formula2>0</formula2>
    </dataValidation>
    <dataValidation sqref="E3:E100" showDropDown="0" showInputMessage="0" showErrorMessage="0" allowBlank="1" type="list">
      <formula1>"在籍,退職,休職"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zoomScaleNormal="100" workbookViewId="0">
      <selection activeCell="D6" sqref="D6"/>
    </sheetView>
  </sheetViews>
  <sheetFormatPr baseColWidth="8" defaultColWidth="8.6640625" defaultRowHeight="14.4"/>
  <cols>
    <col width="8" customWidth="1" min="1" max="1"/>
    <col width="30" customWidth="1" min="2" max="2"/>
    <col width="20" customWidth="1" min="3" max="3"/>
    <col width="12" customWidth="1" min="4" max="4"/>
    <col width="20" customWidth="1" min="5" max="5"/>
  </cols>
  <sheetData>
    <row r="1" ht="36" customHeight="1">
      <c r="A1" s="44" t="inlineStr">
        <is>
          <t>有限会社 東輝　現場マスタ</t>
        </is>
      </c>
      <c r="B1" s="107" t="n"/>
      <c r="C1" s="107" t="n"/>
      <c r="D1" s="107" t="n"/>
      <c r="E1" s="107" t="n"/>
    </row>
    <row r="2" ht="24" customHeight="1">
      <c r="A2" s="12" t="inlineStr">
        <is>
          <t>コード</t>
        </is>
      </c>
      <c r="B2" s="12" t="inlineStr">
        <is>
          <t>現場名</t>
        </is>
      </c>
      <c r="C2" s="12" t="inlineStr">
        <is>
          <t>発注者</t>
        </is>
      </c>
      <c r="D2" s="12" t="inlineStr">
        <is>
          <t>工事種別</t>
        </is>
      </c>
      <c r="E2" s="12" t="inlineStr">
        <is>
          <t>備考</t>
        </is>
      </c>
    </row>
    <row r="3" ht="21.75" customHeight="1">
      <c r="A3" s="2" t="inlineStr">
        <is>
          <t>A</t>
        </is>
      </c>
      <c r="B3" s="62" t="inlineStr">
        <is>
          <t>会社</t>
        </is>
      </c>
      <c r="C3" s="62" t="inlineStr">
        <is>
          <t>東輝</t>
        </is>
      </c>
      <c r="D3" s="3" t="inlineStr">
        <is>
          <t>その他</t>
        </is>
      </c>
      <c r="E3" s="3" t="n"/>
    </row>
    <row r="4" ht="21.75" customHeight="1">
      <c r="A4" s="7" t="inlineStr">
        <is>
          <t>B</t>
        </is>
      </c>
      <c r="B4" s="63" t="inlineStr">
        <is>
          <t>健老町道路排水施設工事</t>
        </is>
      </c>
      <c r="C4" s="63" t="inlineStr">
        <is>
          <t>大牟田市</t>
        </is>
      </c>
      <c r="D4" s="63" t="inlineStr">
        <is>
          <t>土木</t>
        </is>
      </c>
      <c r="E4" s="8" t="n"/>
    </row>
    <row r="5" ht="21.75" customHeight="1">
      <c r="A5" s="2" t="inlineStr">
        <is>
          <t>C</t>
        </is>
      </c>
      <c r="B5" s="62" t="inlineStr">
        <is>
          <t>四山海岸高潮対策工事</t>
        </is>
      </c>
      <c r="C5" s="62" t="inlineStr">
        <is>
          <t>県土木</t>
        </is>
      </c>
      <c r="D5" s="3" t="inlineStr">
        <is>
          <t>土木</t>
        </is>
      </c>
      <c r="E5" s="3" t="n"/>
    </row>
    <row r="6" ht="21.75" customHeight="1">
      <c r="A6" s="7" t="inlineStr">
        <is>
          <t>D</t>
        </is>
      </c>
      <c r="B6" s="63" t="inlineStr">
        <is>
          <t>その他</t>
        </is>
      </c>
      <c r="C6" s="8" t="inlineStr">
        <is>
          <t>東輝</t>
        </is>
      </c>
      <c r="D6" s="8" t="inlineStr">
        <is>
          <t>その他</t>
        </is>
      </c>
      <c r="E6" s="8" t="n"/>
    </row>
    <row r="7" ht="21.75" customHeight="1">
      <c r="A7" s="2" t="inlineStr">
        <is>
          <t>E</t>
        </is>
      </c>
      <c r="B7" s="3" t="inlineStr">
        <is>
          <t>石綿（アスベスト）講習会</t>
        </is>
      </c>
      <c r="C7" s="3" t="inlineStr">
        <is>
          <t>外部</t>
        </is>
      </c>
      <c r="D7" s="3" t="inlineStr">
        <is>
          <t>その他</t>
        </is>
      </c>
      <c r="E7" s="3" t="n"/>
    </row>
    <row r="8" ht="21.75" customHeight="1">
      <c r="A8" s="7" t="inlineStr">
        <is>
          <t>F</t>
        </is>
      </c>
      <c r="B8" s="8" t="inlineStr">
        <is>
          <t>吉野汚水（R7-2工区）</t>
        </is>
      </c>
      <c r="C8" s="8" t="inlineStr">
        <is>
          <t>大牟田市</t>
        </is>
      </c>
      <c r="D8" s="8" t="inlineStr">
        <is>
          <t>下水</t>
        </is>
      </c>
      <c r="E8" s="8" t="n"/>
    </row>
    <row r="9" ht="21.75" customHeight="1">
      <c r="A9" s="2" t="inlineStr">
        <is>
          <t>G</t>
        </is>
      </c>
      <c r="B9" s="3" t="inlineStr">
        <is>
          <t>（予備）</t>
        </is>
      </c>
      <c r="C9" s="3" t="n"/>
      <c r="D9" s="3" t="n"/>
      <c r="E9" s="3" t="n"/>
    </row>
    <row r="10" ht="21.75" customHeight="1">
      <c r="A10" s="7" t="inlineStr">
        <is>
          <t>H</t>
        </is>
      </c>
      <c r="B10" s="8" t="inlineStr">
        <is>
          <t>（予備）</t>
        </is>
      </c>
      <c r="C10" s="8" t="n"/>
      <c r="D10" s="8" t="n"/>
      <c r="E10" s="8" t="n"/>
    </row>
    <row r="11" ht="21.75" customHeight="1">
      <c r="A11" s="2" t="inlineStr">
        <is>
          <t>I</t>
        </is>
      </c>
      <c r="B11" s="3" t="inlineStr">
        <is>
          <t>（予備）</t>
        </is>
      </c>
      <c r="C11" s="3" t="n"/>
      <c r="D11" s="3" t="n"/>
      <c r="E11" s="3" t="n"/>
    </row>
    <row r="12" ht="21.75" customHeight="1">
      <c r="A12" s="7" t="inlineStr">
        <is>
          <t>J</t>
        </is>
      </c>
      <c r="B12" s="8" t="inlineStr">
        <is>
          <t>（予備）</t>
        </is>
      </c>
      <c r="C12" s="8" t="n"/>
      <c r="D12" s="8" t="n"/>
      <c r="E12" s="8" t="n"/>
    </row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7"/>
  <sheetViews>
    <sheetView showGridLines="0" zoomScaleNormal="100" workbookViewId="0">
      <pane ySplit="2" topLeftCell="A112" activePane="bottomLeft" state="frozen"/>
      <selection pane="bottomLeft" activeCell="A109" sqref="A109"/>
    </sheetView>
  </sheetViews>
  <sheetFormatPr baseColWidth="8" defaultColWidth="8.6640625" defaultRowHeight="14.4"/>
  <cols>
    <col width="13" customWidth="1" min="1" max="1"/>
    <col width="10" customWidth="1" min="2" max="2"/>
    <col width="16" customWidth="1" min="3" max="3"/>
    <col width="10" customWidth="1" min="4" max="4"/>
    <col width="8" customWidth="1" min="5" max="6"/>
    <col width="22" customWidth="1" min="7" max="7"/>
    <col width="10" customWidth="1" min="8" max="11"/>
    <col width="20" customWidth="1" min="12" max="12"/>
  </cols>
  <sheetData>
    <row r="1" ht="36" customHeight="1">
      <c r="A1" s="56" t="inlineStr">
        <is>
          <t>出退勤入力　※1行1レコード形式で入力してください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</row>
    <row r="2" ht="30" customHeight="1">
      <c r="A2" s="1" t="inlineStr">
        <is>
          <t>日付</t>
        </is>
      </c>
      <c r="B2" s="1" t="inlineStr">
        <is>
          <t>社員ID</t>
        </is>
      </c>
      <c r="C2" s="1" t="inlineStr">
        <is>
          <t>氏名
（自動）</t>
        </is>
      </c>
      <c r="D2" s="1" t="inlineStr">
        <is>
          <t>区分
（自動）</t>
        </is>
      </c>
      <c r="E2" s="1" t="inlineStr">
        <is>
          <t>出勤区分</t>
        </is>
      </c>
      <c r="F2" s="1" t="inlineStr">
        <is>
          <t>現場
コード</t>
        </is>
      </c>
      <c r="G2" s="1" t="inlineStr">
        <is>
          <t>現場名
（自動）</t>
        </is>
      </c>
      <c r="H2" s="1" t="inlineStr">
        <is>
          <t>出勤時刻</t>
        </is>
      </c>
      <c r="I2" s="1" t="inlineStr">
        <is>
          <t>退勤時刻</t>
        </is>
      </c>
      <c r="J2" s="1" t="inlineStr">
        <is>
          <t>残業時間
(h)</t>
        </is>
      </c>
      <c r="K2" s="1" t="inlineStr">
        <is>
          <t>遅刻早退
(h)</t>
        </is>
      </c>
      <c r="L2" s="1" t="inlineStr">
        <is>
          <t>備考</t>
        </is>
      </c>
      <c r="M2" s="110" t="inlineStr">
        <is>
          <t>実働時間(h)
【自動計算】
6h以上→休憩1h控除</t>
        </is>
      </c>
    </row>
    <row r="3" ht="19.5" customHeight="1">
      <c r="A3" s="64" t="n">
        <v>46126</v>
      </c>
      <c r="B3" s="2" t="inlineStr">
        <is>
          <t>EMP012</t>
        </is>
      </c>
      <c r="C3" s="3" t="inlineStr">
        <is>
          <t>山田ゆかり</t>
        </is>
      </c>
      <c r="D3" s="2" t="n"/>
      <c r="E3" s="2" t="inlineStr">
        <is>
          <t>○</t>
        </is>
      </c>
      <c r="F3" s="2" t="inlineStr">
        <is>
          <t>A</t>
        </is>
      </c>
      <c r="G3" s="3" t="inlineStr">
        <is>
          <t>会社</t>
        </is>
      </c>
      <c r="H3" s="65" t="n">
        <v>0.3722222222222222</v>
      </c>
      <c r="I3" s="65" t="n">
        <v>0.7125</v>
      </c>
      <c r="J3" s="2" t="n">
        <v>0.15</v>
      </c>
      <c r="K3" s="2" t="n">
        <v>0</v>
      </c>
      <c r="L3" s="2" t="n"/>
      <c r="M3" s="111">
        <f>IFERROR(IF(AND(H3&lt;&gt;"",I3&lt;&gt;""),ROUND(MAX(0,(I3-H3)*24-IF((I3-H3)*24&gt;=6,1,0)),2),IF(E3="△",4,0)),0)</f>
        <v/>
      </c>
    </row>
    <row r="4" ht="19.5" customHeight="1">
      <c r="A4" s="66" t="n">
        <v>46126</v>
      </c>
      <c r="B4" s="7" t="inlineStr">
        <is>
          <t>EMP016</t>
        </is>
      </c>
      <c r="C4" s="8" t="inlineStr">
        <is>
          <t>畑野浩次</t>
        </is>
      </c>
      <c r="D4" s="7" t="n"/>
      <c r="E4" s="7" t="inlineStr">
        <is>
          <t>○</t>
        </is>
      </c>
      <c r="F4" s="7" t="inlineStr">
        <is>
          <t>A</t>
        </is>
      </c>
      <c r="G4" s="8" t="inlineStr">
        <is>
          <t>会社</t>
        </is>
      </c>
      <c r="H4" s="67" t="n">
        <v>0.3722222222222222</v>
      </c>
      <c r="I4" s="67" t="n">
        <v>0.7125</v>
      </c>
      <c r="J4" s="7" t="n">
        <v>0.15</v>
      </c>
      <c r="K4" s="7" t="n">
        <v>0</v>
      </c>
      <c r="L4" s="7" t="n"/>
      <c r="M4" s="111">
        <f>IFERROR(IF(AND(H4&lt;&gt;"",I4&lt;&gt;""),ROUND(MAX(0,(I4-H4)*24-IF((I4-H4)*24&gt;=6,1,0)),2),IF(E4="△",4,0)),0)</f>
        <v/>
      </c>
    </row>
    <row r="5" ht="19.5" customHeight="1">
      <c r="A5" s="64" t="n">
        <v>46126</v>
      </c>
      <c r="B5" s="2" t="inlineStr">
        <is>
          <t>EMP013</t>
        </is>
      </c>
      <c r="C5" s="3" t="inlineStr">
        <is>
          <t>菊川裕美</t>
        </is>
      </c>
      <c r="D5" s="2" t="n"/>
      <c r="E5" s="2" t="inlineStr">
        <is>
          <t>○</t>
        </is>
      </c>
      <c r="F5" s="2" t="inlineStr">
        <is>
          <t>A</t>
        </is>
      </c>
      <c r="G5" s="3" t="inlineStr">
        <is>
          <t>会社</t>
        </is>
      </c>
      <c r="H5" s="65" t="n">
        <v>0.3666666666666666</v>
      </c>
      <c r="I5" s="65" t="n">
        <v>0.6270833333333333</v>
      </c>
      <c r="J5" s="2" t="n">
        <v>0</v>
      </c>
      <c r="K5" s="2" t="n">
        <v>0</v>
      </c>
      <c r="L5" s="2" t="n"/>
      <c r="M5" s="111">
        <f>IFERROR(IF(AND(H5&lt;&gt;"",I5&lt;&gt;""),ROUND(MAX(0,(I5-H5)*24-IF((I5-H5)*24&gt;=6,1,0)),2),IF(E5="△",4,0)),0)</f>
        <v/>
      </c>
    </row>
    <row r="6" ht="19.5" customHeight="1">
      <c r="A6" s="66" t="n">
        <v>46126</v>
      </c>
      <c r="B6" s="7" t="inlineStr">
        <is>
          <t>EMP017</t>
        </is>
      </c>
      <c r="C6" s="8" t="inlineStr">
        <is>
          <t>濱津紀子</t>
        </is>
      </c>
      <c r="D6" s="7" t="n"/>
      <c r="E6" s="7" t="inlineStr">
        <is>
          <t>○</t>
        </is>
      </c>
      <c r="F6" s="7" t="inlineStr">
        <is>
          <t>A</t>
        </is>
      </c>
      <c r="G6" s="8" t="inlineStr">
        <is>
          <t>会社</t>
        </is>
      </c>
      <c r="H6" s="67" t="n">
        <v>0.3715277777777778</v>
      </c>
      <c r="I6" s="67" t="n">
        <v>0.6284722222222222</v>
      </c>
      <c r="J6" s="7" t="n">
        <v>0</v>
      </c>
      <c r="K6" s="7" t="n">
        <v>0</v>
      </c>
      <c r="L6" s="7" t="n"/>
      <c r="M6" s="111">
        <f>IFERROR(IF(AND(H6&lt;&gt;"",I6&lt;&gt;""),ROUND(MAX(0,(I6-H6)*24-IF((I6-H6)*24&gt;=6,1,0)),2),IF(E6="△",4,0)),0)</f>
        <v/>
      </c>
    </row>
    <row r="7" ht="19.5" customHeight="1">
      <c r="A7" s="64" t="n">
        <v>46126</v>
      </c>
      <c r="B7" s="2" t="inlineStr">
        <is>
          <t>EMP002</t>
        </is>
      </c>
      <c r="C7" s="3" t="inlineStr">
        <is>
          <t>中原義範</t>
        </is>
      </c>
      <c r="D7" s="2" t="n"/>
      <c r="E7" s="2" t="inlineStr">
        <is>
          <t>○</t>
        </is>
      </c>
      <c r="F7" s="2" t="inlineStr">
        <is>
          <t>A</t>
        </is>
      </c>
      <c r="G7" s="3" t="inlineStr">
        <is>
          <t>会社</t>
        </is>
      </c>
      <c r="H7" s="65" t="n">
        <v>0.3409722222222222</v>
      </c>
      <c r="I7" s="65" t="n">
        <v>0.6166666666666667</v>
      </c>
      <c r="J7" s="2" t="n">
        <v>0</v>
      </c>
      <c r="K7" s="2" t="n">
        <v>0</v>
      </c>
      <c r="L7" s="2" t="n"/>
      <c r="M7" s="111">
        <f>IFERROR(IF(AND(H7&lt;&gt;"",I7&lt;&gt;""),ROUND(MAX(0,(I7-H7)*24-IF((I7-H7)*24&gt;=6,1,0)),2),IF(E7="△",4,0)),0)</f>
        <v/>
      </c>
    </row>
    <row r="8" ht="19.5" customHeight="1">
      <c r="A8" s="66" t="n">
        <v>46126</v>
      </c>
      <c r="B8" s="7" t="inlineStr">
        <is>
          <t>EMP004</t>
        </is>
      </c>
      <c r="C8" s="8" t="inlineStr">
        <is>
          <t>中原裟也茄</t>
        </is>
      </c>
      <c r="D8" s="7" t="n"/>
      <c r="E8" s="7" t="inlineStr">
        <is>
          <t>○</t>
        </is>
      </c>
      <c r="F8" s="7" t="inlineStr">
        <is>
          <t>A</t>
        </is>
      </c>
      <c r="G8" s="8" t="inlineStr">
        <is>
          <t>会社</t>
        </is>
      </c>
      <c r="H8" s="67" t="n">
        <v>0.3375</v>
      </c>
      <c r="I8" s="67" t="n">
        <v>0.7305555555555555</v>
      </c>
      <c r="J8" s="7" t="n">
        <v>1.42</v>
      </c>
      <c r="K8" s="7" t="n">
        <v>0</v>
      </c>
      <c r="L8" s="7" t="n"/>
      <c r="M8" s="111">
        <f>IFERROR(IF(AND(H8&lt;&gt;"",I8&lt;&gt;""),ROUND(MAX(0,(I8-H8)*24-IF((I8-H8)*24&gt;=6,1,0)),2),IF(E8="△",4,0)),0)</f>
        <v/>
      </c>
    </row>
    <row r="9" ht="19.5" customHeight="1">
      <c r="A9" s="64" t="n">
        <v>46126</v>
      </c>
      <c r="B9" s="2" t="inlineStr">
        <is>
          <t>EMP007</t>
        </is>
      </c>
      <c r="C9" s="3" t="inlineStr">
        <is>
          <t>中原宏</t>
        </is>
      </c>
      <c r="D9" s="2" t="n"/>
      <c r="E9" s="2" t="inlineStr">
        <is>
          <t>○</t>
        </is>
      </c>
      <c r="F9" s="2" t="inlineStr">
        <is>
          <t>B</t>
        </is>
      </c>
      <c r="G9" s="3" t="inlineStr">
        <is>
          <t>健老町道路排水施設工事</t>
        </is>
      </c>
      <c r="H9" s="65" t="n">
        <v>0.3333333333333333</v>
      </c>
      <c r="I9" s="65" t="n">
        <v>0.6041666666666666</v>
      </c>
      <c r="J9" s="2" t="n">
        <v>0</v>
      </c>
      <c r="K9" s="2" t="n">
        <v>0</v>
      </c>
      <c r="L9" s="4" t="inlineStr">
        <is>
          <t>半日</t>
        </is>
      </c>
      <c r="M9" s="111">
        <f>IFERROR(IF(AND(H9&lt;&gt;"",I9&lt;&gt;""),ROUND(MAX(0,(I9-H9)*24-IF((I9-H9)*24&gt;=6,1,0)),2),IF(E9="△",4,0)),0)</f>
        <v/>
      </c>
    </row>
    <row r="10" ht="19.5" customHeight="1">
      <c r="A10" s="68" t="n">
        <v>46126</v>
      </c>
      <c r="B10" s="13" t="inlineStr">
        <is>
          <t>EMP003</t>
        </is>
      </c>
      <c r="C10" s="14" t="inlineStr">
        <is>
          <t>有田忍</t>
        </is>
      </c>
      <c r="D10" s="13" t="n"/>
      <c r="E10" s="13" t="inlineStr">
        <is>
          <t>○</t>
        </is>
      </c>
      <c r="F10" s="13" t="inlineStr">
        <is>
          <t>B</t>
        </is>
      </c>
      <c r="G10" s="14" t="inlineStr">
        <is>
          <t>健老町道路排水施設工事</t>
        </is>
      </c>
      <c r="H10" s="69" t="n">
        <v>0.31875</v>
      </c>
      <c r="I10" s="69" t="n">
        <v>0.6041666666666666</v>
      </c>
      <c r="J10" s="13" t="n">
        <v>0</v>
      </c>
      <c r="K10" s="13" t="n">
        <v>0</v>
      </c>
      <c r="L10" s="13" t="n"/>
      <c r="M10" s="111">
        <f>IFERROR(IF(AND(H10&lt;&gt;"",I10&lt;&gt;""),ROUND(MAX(0,(I10-H10)*24-IF((I10-H10)*24&gt;=6,1,0)),2),IF(E10="△",4,0)),0)</f>
        <v/>
      </c>
    </row>
    <row r="11" ht="19.5" customHeight="1">
      <c r="A11" s="70" t="n">
        <v>46126</v>
      </c>
      <c r="B11" s="15" t="inlineStr">
        <is>
          <t>EMP009</t>
        </is>
      </c>
      <c r="C11" s="16" t="inlineStr">
        <is>
          <t>ヨザ</t>
        </is>
      </c>
      <c r="D11" s="15" t="n"/>
      <c r="E11" s="15" t="inlineStr">
        <is>
          <t>○</t>
        </is>
      </c>
      <c r="F11" s="15" t="inlineStr">
        <is>
          <t>B</t>
        </is>
      </c>
      <c r="G11" s="16" t="inlineStr">
        <is>
          <t>健老町道路排水施設工事</t>
        </is>
      </c>
      <c r="H11" s="71" t="n">
        <v>0.3333333333333333</v>
      </c>
      <c r="I11" s="71" t="n">
        <v>0.6041666666666666</v>
      </c>
      <c r="J11" s="15" t="n">
        <v>0</v>
      </c>
      <c r="K11" s="15" t="n">
        <v>0</v>
      </c>
      <c r="L11" s="15" t="n"/>
      <c r="M11" s="111">
        <f>IFERROR(IF(AND(H11&lt;&gt;"",I11&lt;&gt;""),ROUND(MAX(0,(I11-H11)*24-IF((I11-H11)*24&gt;=6,1,0)),2),IF(E11="△",4,0)),0)</f>
        <v/>
      </c>
    </row>
    <row r="12" ht="19.5" customHeight="1">
      <c r="A12" s="68" t="n">
        <v>46126</v>
      </c>
      <c r="B12" s="13" t="inlineStr">
        <is>
          <t>EMP008</t>
        </is>
      </c>
      <c r="C12" s="14" t="inlineStr">
        <is>
          <t>アルフィ</t>
        </is>
      </c>
      <c r="D12" s="13" t="n"/>
      <c r="E12" s="13" t="inlineStr">
        <is>
          <t>○</t>
        </is>
      </c>
      <c r="F12" s="13" t="inlineStr">
        <is>
          <t>A</t>
        </is>
      </c>
      <c r="G12" s="14" t="inlineStr">
        <is>
          <t>会社</t>
        </is>
      </c>
      <c r="H12" s="69" t="n">
        <v>0.3333333333333333</v>
      </c>
      <c r="I12" s="69" t="n">
        <v>0.6041666666666666</v>
      </c>
      <c r="J12" s="13" t="n">
        <v>0</v>
      </c>
      <c r="K12" s="13" t="n">
        <v>0</v>
      </c>
      <c r="L12" s="13" t="n"/>
      <c r="M12" s="111">
        <f>IFERROR(IF(AND(H12&lt;&gt;"",I12&lt;&gt;""),ROUND(MAX(0,(I12-H12)*24-IF((I12-H12)*24&gt;=6,1,0)),2),IF(E12="△",4,0)),0)</f>
        <v/>
      </c>
    </row>
    <row r="13" ht="19.5" customHeight="1">
      <c r="A13" s="70" t="n">
        <v>46126</v>
      </c>
      <c r="B13" s="15" t="inlineStr">
        <is>
          <t>EMP010</t>
        </is>
      </c>
      <c r="C13" s="16" t="inlineStr">
        <is>
          <t>リズキ</t>
        </is>
      </c>
      <c r="D13" s="15" t="n"/>
      <c r="E13" s="15" t="inlineStr">
        <is>
          <t>○</t>
        </is>
      </c>
      <c r="F13" s="15" t="inlineStr">
        <is>
          <t>B</t>
        </is>
      </c>
      <c r="G13" s="16" t="inlineStr">
        <is>
          <t>健老町道路排水施設工事</t>
        </is>
      </c>
      <c r="H13" s="71" t="n">
        <v>0.3333333333333333</v>
      </c>
      <c r="I13" s="71" t="n">
        <v>0.6041666666666666</v>
      </c>
      <c r="J13" s="15" t="n">
        <v>0</v>
      </c>
      <c r="K13" s="15" t="n">
        <v>0</v>
      </c>
      <c r="L13" s="15" t="n"/>
      <c r="M13" s="111">
        <f>IFERROR(IF(AND(H13&lt;&gt;"",I13&lt;&gt;""),ROUND(MAX(0,(I13-H13)*24-IF((I13-H13)*24&gt;=6,1,0)),2),IF(E13="△",4,0)),0)</f>
        <v/>
      </c>
    </row>
    <row r="14" ht="19.5" customHeight="1">
      <c r="A14" s="68" t="n">
        <v>46126</v>
      </c>
      <c r="B14" s="13" t="inlineStr">
        <is>
          <t>EMP011</t>
        </is>
      </c>
      <c r="C14" s="14" t="inlineStr">
        <is>
          <t>ディマス</t>
        </is>
      </c>
      <c r="D14" s="13" t="n"/>
      <c r="E14" s="13" t="inlineStr">
        <is>
          <t>○</t>
        </is>
      </c>
      <c r="F14" s="13" t="inlineStr">
        <is>
          <t>B</t>
        </is>
      </c>
      <c r="G14" s="14" t="inlineStr">
        <is>
          <t>健老町道路排水施設工事</t>
        </is>
      </c>
      <c r="H14" s="69" t="n">
        <v>0.3333333333333333</v>
      </c>
      <c r="I14" s="69" t="n">
        <v>0.6041666666666666</v>
      </c>
      <c r="J14" s="13" t="n">
        <v>0</v>
      </c>
      <c r="K14" s="13" t="n">
        <v>0</v>
      </c>
      <c r="L14" s="13" t="n"/>
      <c r="M14" s="111">
        <f>IFERROR(IF(AND(H14&lt;&gt;"",I14&lt;&gt;""),ROUND(MAX(0,(I14-H14)*24-IF((I14-H14)*24&gt;=6,1,0)),2),IF(E14="△",4,0)),0)</f>
        <v/>
      </c>
    </row>
    <row r="15" ht="19.5" customHeight="1">
      <c r="A15" s="70" t="n">
        <v>46127</v>
      </c>
      <c r="B15" s="15" t="inlineStr">
        <is>
          <t>EMP012</t>
        </is>
      </c>
      <c r="C15" s="16" t="inlineStr">
        <is>
          <t>山田ゆかり</t>
        </is>
      </c>
      <c r="D15" s="15" t="n"/>
      <c r="E15" s="15" t="inlineStr">
        <is>
          <t>○</t>
        </is>
      </c>
      <c r="F15" s="15" t="inlineStr">
        <is>
          <t>A</t>
        </is>
      </c>
      <c r="G15" s="16" t="inlineStr">
        <is>
          <t>会社</t>
        </is>
      </c>
      <c r="H15" s="71" t="n">
        <v>0.3722222222222222</v>
      </c>
      <c r="I15" s="71" t="n">
        <v>0.7145833333333333</v>
      </c>
      <c r="J15" s="15" t="n">
        <v>0</v>
      </c>
      <c r="K15" s="15" t="n">
        <v>0</v>
      </c>
      <c r="L15" s="15" t="n"/>
      <c r="M15" s="111">
        <f>IFERROR(IF(AND(H15&lt;&gt;"",I15&lt;&gt;""),ROUND(MAX(0,(I15-H15)*24-IF((I15-H15)*24&gt;=6,1,0)),2),IF(E15="△",4,0)),0)</f>
        <v/>
      </c>
    </row>
    <row r="16" ht="19.5" customHeight="1">
      <c r="A16" s="68" t="n">
        <v>46127</v>
      </c>
      <c r="B16" s="13" t="inlineStr">
        <is>
          <t>EMP016</t>
        </is>
      </c>
      <c r="C16" s="14" t="inlineStr">
        <is>
          <t>畑野浩次</t>
        </is>
      </c>
      <c r="D16" s="13" t="n"/>
      <c r="E16" s="13" t="inlineStr">
        <is>
          <t>○</t>
        </is>
      </c>
      <c r="F16" s="13" t="inlineStr">
        <is>
          <t>A</t>
        </is>
      </c>
      <c r="G16" s="14" t="inlineStr">
        <is>
          <t>会社</t>
        </is>
      </c>
      <c r="H16" s="69" t="n">
        <v>0.3590277777777778</v>
      </c>
      <c r="I16" s="69" t="n">
        <v>0.7111111111111111</v>
      </c>
      <c r="J16" s="13" t="n">
        <v>0</v>
      </c>
      <c r="K16" s="13" t="n">
        <v>0</v>
      </c>
      <c r="L16" s="13" t="n"/>
      <c r="M16" s="111">
        <f>IFERROR(IF(AND(H16&lt;&gt;"",I16&lt;&gt;""),ROUND(MAX(0,(I16-H16)*24-IF((I16-H16)*24&gt;=6,1,0)),2),IF(E16="△",4,0)),0)</f>
        <v/>
      </c>
    </row>
    <row r="17" ht="19.5" customHeight="1">
      <c r="A17" s="70" t="n">
        <v>46127</v>
      </c>
      <c r="B17" s="15" t="inlineStr">
        <is>
          <t>EMP013</t>
        </is>
      </c>
      <c r="C17" s="16" t="inlineStr">
        <is>
          <t>菊川裕美</t>
        </is>
      </c>
      <c r="D17" s="15" t="n"/>
      <c r="E17" s="15" t="inlineStr">
        <is>
          <t>○</t>
        </is>
      </c>
      <c r="F17" s="15" t="inlineStr">
        <is>
          <t>A</t>
        </is>
      </c>
      <c r="G17" s="16" t="inlineStr">
        <is>
          <t>会社</t>
        </is>
      </c>
      <c r="H17" s="71" t="n">
        <v>0.3673611111111111</v>
      </c>
      <c r="I17" s="71" t="n">
        <v>0.6291666666666667</v>
      </c>
      <c r="J17" s="15" t="n">
        <v>0</v>
      </c>
      <c r="K17" s="15" t="n">
        <v>0</v>
      </c>
      <c r="L17" s="15" t="n"/>
      <c r="M17" s="111">
        <f>IFERROR(IF(AND(H17&lt;&gt;"",I17&lt;&gt;""),ROUND(MAX(0,(I17-H17)*24-IF((I17-H17)*24&gt;=6,1,0)),2),IF(E17="△",4,0)),0)</f>
        <v/>
      </c>
    </row>
    <row r="18" ht="19.5" customHeight="1">
      <c r="A18" s="68" t="n">
        <v>46127</v>
      </c>
      <c r="B18" s="13" t="inlineStr">
        <is>
          <t>EMP017</t>
        </is>
      </c>
      <c r="C18" s="14" t="inlineStr">
        <is>
          <t>濱津紀子</t>
        </is>
      </c>
      <c r="D18" s="13" t="n"/>
      <c r="E18" s="13" t="inlineStr">
        <is>
          <t>○</t>
        </is>
      </c>
      <c r="F18" s="13" t="inlineStr">
        <is>
          <t>A</t>
        </is>
      </c>
      <c r="G18" s="14" t="inlineStr">
        <is>
          <t>会社</t>
        </is>
      </c>
      <c r="H18" s="69" t="n">
        <v>0.3736111111111111</v>
      </c>
      <c r="I18" s="69" t="n">
        <v>0.6361111111111111</v>
      </c>
      <c r="J18" s="13" t="n">
        <v>0</v>
      </c>
      <c r="K18" s="13" t="n">
        <v>0</v>
      </c>
      <c r="L18" s="13" t="n"/>
      <c r="M18" s="111">
        <f>IFERROR(IF(AND(H18&lt;&gt;"",I18&lt;&gt;""),ROUND(MAX(0,(I18-H18)*24-IF((I18-H18)*24&gt;=6,1,0)),2),IF(E18="△",4,0)),0)</f>
        <v/>
      </c>
    </row>
    <row r="19" ht="19.5" customHeight="1">
      <c r="A19" s="70" t="n">
        <v>46127</v>
      </c>
      <c r="B19" s="15" t="n"/>
      <c r="C19" s="16" t="inlineStr">
        <is>
          <t>宮川正利</t>
        </is>
      </c>
      <c r="D19" s="15" t="n"/>
      <c r="E19" s="15" t="inlineStr">
        <is>
          <t>○</t>
        </is>
      </c>
      <c r="F19" s="15" t="inlineStr">
        <is>
          <t>B</t>
        </is>
      </c>
      <c r="G19" s="16" t="inlineStr">
        <is>
          <t>健老町道路排水施設工事</t>
        </is>
      </c>
      <c r="H19" s="71" t="n">
        <v>0.3333333333333333</v>
      </c>
      <c r="I19" s="71" t="n">
        <v>0.7180555555555556</v>
      </c>
      <c r="J19" s="15" t="n">
        <v>0.23</v>
      </c>
      <c r="K19" s="15" t="n">
        <v>0</v>
      </c>
      <c r="L19" s="15" t="n"/>
      <c r="M19" s="111">
        <f>IFERROR(IF(AND(H19&lt;&gt;"",I19&lt;&gt;""),ROUND(MAX(0,(I19-H19)*24-IF((I19-H19)*24&gt;=6,1,0)),2),IF(E19="△",4,0)),0)</f>
        <v/>
      </c>
    </row>
    <row r="20" ht="19.5" customHeight="1">
      <c r="A20" s="68" t="n">
        <v>46127</v>
      </c>
      <c r="B20" s="13" t="inlineStr">
        <is>
          <t>EMP002</t>
        </is>
      </c>
      <c r="C20" s="14" t="inlineStr">
        <is>
          <t>中原義範</t>
        </is>
      </c>
      <c r="D20" s="13" t="n"/>
      <c r="E20" s="13" t="inlineStr">
        <is>
          <t>○</t>
        </is>
      </c>
      <c r="F20" s="13" t="inlineStr">
        <is>
          <t>A</t>
        </is>
      </c>
      <c r="G20" s="14" t="inlineStr">
        <is>
          <t>会社</t>
        </is>
      </c>
      <c r="H20" s="69" t="n">
        <v>0.3319444444444444</v>
      </c>
      <c r="I20" s="69" t="n">
        <v>0.7291666666666666</v>
      </c>
      <c r="J20" s="13" t="n">
        <v>0.53</v>
      </c>
      <c r="K20" s="13" t="n">
        <v>0</v>
      </c>
      <c r="L20" s="13" t="n"/>
      <c r="M20" s="111">
        <f>IFERROR(IF(AND(H20&lt;&gt;"",I20&lt;&gt;""),ROUND(MAX(0,(I20-H20)*24-IF((I20-H20)*24&gt;=6,1,0)),2),IF(E20="△",4,0)),0)</f>
        <v/>
      </c>
    </row>
    <row r="21" ht="19.5" customHeight="1">
      <c r="A21" s="70" t="n">
        <v>46127</v>
      </c>
      <c r="B21" s="15" t="inlineStr">
        <is>
          <t>EMP004</t>
        </is>
      </c>
      <c r="C21" s="16" t="inlineStr">
        <is>
          <t>中原裟也茄</t>
        </is>
      </c>
      <c r="D21" s="15" t="n"/>
      <c r="E21" s="15" t="inlineStr">
        <is>
          <t>○</t>
        </is>
      </c>
      <c r="F21" s="15" t="inlineStr">
        <is>
          <t>A</t>
        </is>
      </c>
      <c r="G21" s="16" t="inlineStr">
        <is>
          <t>会社</t>
        </is>
      </c>
      <c r="H21" s="71" t="n">
        <v>0.3326388888888889</v>
      </c>
      <c r="I21" s="71" t="n">
        <v>0.7465277777777778</v>
      </c>
      <c r="J21" s="15" t="n">
        <v>0.93</v>
      </c>
      <c r="K21" s="15" t="n">
        <v>0</v>
      </c>
      <c r="L21" s="15" t="n"/>
      <c r="M21" s="111">
        <f>IFERROR(IF(AND(H21&lt;&gt;"",I21&lt;&gt;""),ROUND(MAX(0,(I21-H21)*24-IF((I21-H21)*24&gt;=6,1,0)),2),IF(E21="△",4,0)),0)</f>
        <v/>
      </c>
    </row>
    <row r="22" ht="19.5" customHeight="1">
      <c r="A22" s="68" t="n">
        <v>46127</v>
      </c>
      <c r="B22" s="13" t="inlineStr">
        <is>
          <t>EMP007</t>
        </is>
      </c>
      <c r="C22" s="14" t="inlineStr">
        <is>
          <t>中原宏</t>
        </is>
      </c>
      <c r="D22" s="13" t="n"/>
      <c r="E22" s="13" t="inlineStr">
        <is>
          <t>○</t>
        </is>
      </c>
      <c r="F22" s="13" t="inlineStr">
        <is>
          <t>B</t>
        </is>
      </c>
      <c r="G22" s="14" t="inlineStr">
        <is>
          <t>健老町道路排水施設工事</t>
        </is>
      </c>
      <c r="H22" s="69" t="n">
        <v>0.3326388888888889</v>
      </c>
      <c r="I22" s="69" t="n">
        <v>0.7166666666666667</v>
      </c>
      <c r="J22" s="13" t="n">
        <v>0.22</v>
      </c>
      <c r="K22" s="13" t="n">
        <v>0</v>
      </c>
      <c r="L22" s="13" t="n"/>
      <c r="M22" s="111">
        <f>IFERROR(IF(AND(H22&lt;&gt;"",I22&lt;&gt;""),ROUND(MAX(0,(I22-H22)*24-IF((I22-H22)*24&gt;=6,1,0)),2),IF(E22="△",4,0)),0)</f>
        <v/>
      </c>
    </row>
    <row r="23" ht="19.5" customHeight="1">
      <c r="A23" s="70" t="n">
        <v>46127</v>
      </c>
      <c r="B23" s="15" t="inlineStr">
        <is>
          <t>EMP003</t>
        </is>
      </c>
      <c r="C23" s="16" t="inlineStr">
        <is>
          <t>有田忍</t>
        </is>
      </c>
      <c r="D23" s="15" t="n"/>
      <c r="E23" s="15" t="inlineStr">
        <is>
          <t>○</t>
        </is>
      </c>
      <c r="F23" s="15" t="inlineStr">
        <is>
          <t>B</t>
        </is>
      </c>
      <c r="G23" s="16" t="inlineStr">
        <is>
          <t>健老町道路排水施設工事</t>
        </is>
      </c>
      <c r="H23" s="71" t="n">
        <v>0.3305555555555555</v>
      </c>
      <c r="I23" s="71" t="n">
        <v>0.8055555555555556</v>
      </c>
      <c r="J23" s="15" t="n">
        <v>2.38</v>
      </c>
      <c r="K23" s="15" t="n">
        <v>0</v>
      </c>
      <c r="L23" s="15" t="n"/>
      <c r="M23" s="111">
        <f>IFERROR(IF(AND(H23&lt;&gt;"",I23&lt;&gt;""),ROUND(MAX(0,(I23-H23)*24-IF((I23-H23)*24&gt;=6,1,0)),2),IF(E23="△",4,0)),0)</f>
        <v/>
      </c>
    </row>
    <row r="24" ht="19.5" customHeight="1">
      <c r="A24" s="68" t="n">
        <v>46127</v>
      </c>
      <c r="B24" s="13" t="inlineStr">
        <is>
          <t>EMP009</t>
        </is>
      </c>
      <c r="C24" s="14" t="inlineStr">
        <is>
          <t>ヨザ</t>
        </is>
      </c>
      <c r="D24" s="13" t="n"/>
      <c r="E24" s="13" t="inlineStr">
        <is>
          <t>○</t>
        </is>
      </c>
      <c r="F24" s="13" t="inlineStr">
        <is>
          <t>B</t>
        </is>
      </c>
      <c r="G24" s="14" t="inlineStr">
        <is>
          <t>健老町道路排水施設工事</t>
        </is>
      </c>
      <c r="H24" s="69" t="n">
        <v>0.3069444444444445</v>
      </c>
      <c r="I24" s="69" t="n">
        <v>0.7152777777777778</v>
      </c>
      <c r="J24" s="13" t="n">
        <v>0.78</v>
      </c>
      <c r="K24" s="13" t="n">
        <v>0</v>
      </c>
      <c r="L24" s="13" t="n"/>
      <c r="M24" s="111">
        <f>IFERROR(IF(AND(H24&lt;&gt;"",I24&lt;&gt;""),ROUND(MAX(0,(I24-H24)*24-IF((I24-H24)*24&gt;=6,1,0)),2),IF(E24="△",4,0)),0)</f>
        <v/>
      </c>
    </row>
    <row r="25" ht="19.5" customHeight="1">
      <c r="A25" s="70" t="n">
        <v>46127</v>
      </c>
      <c r="B25" s="15" t="inlineStr">
        <is>
          <t>EMP008</t>
        </is>
      </c>
      <c r="C25" s="16" t="inlineStr">
        <is>
          <t>アルフィ</t>
        </is>
      </c>
      <c r="D25" s="15" t="n"/>
      <c r="E25" s="15" t="inlineStr">
        <is>
          <t>○</t>
        </is>
      </c>
      <c r="F25" s="15" t="inlineStr">
        <is>
          <t>B</t>
        </is>
      </c>
      <c r="G25" s="16" t="inlineStr">
        <is>
          <t>健老町道路排水施設工事</t>
        </is>
      </c>
      <c r="H25" s="71" t="n">
        <v>0.3069444444444445</v>
      </c>
      <c r="I25" s="71" t="n">
        <v>0.7194444444444444</v>
      </c>
      <c r="J25" s="15" t="n">
        <v>0.88</v>
      </c>
      <c r="K25" s="15" t="n">
        <v>0</v>
      </c>
      <c r="L25" s="15" t="n"/>
      <c r="M25" s="111">
        <f>IFERROR(IF(AND(H25&lt;&gt;"",I25&lt;&gt;""),ROUND(MAX(0,(I25-H25)*24-IF((I25-H25)*24&gt;=6,1,0)),2),IF(E25="△",4,0)),0)</f>
        <v/>
      </c>
    </row>
    <row r="26" ht="19.5" customHeight="1">
      <c r="A26" s="68" t="n">
        <v>46127</v>
      </c>
      <c r="B26" s="13" t="inlineStr">
        <is>
          <t>EMP010</t>
        </is>
      </c>
      <c r="C26" s="14" t="inlineStr">
        <is>
          <t>リズキ</t>
        </is>
      </c>
      <c r="D26" s="13" t="n"/>
      <c r="E26" s="13" t="inlineStr">
        <is>
          <t>○</t>
        </is>
      </c>
      <c r="F26" s="13" t="inlineStr">
        <is>
          <t>B</t>
        </is>
      </c>
      <c r="G26" s="14" t="inlineStr">
        <is>
          <t>健老町道路排水施設工事</t>
        </is>
      </c>
      <c r="H26" s="69" t="n">
        <v>0.3125</v>
      </c>
      <c r="I26" s="69" t="n">
        <v>0.7159722222222222</v>
      </c>
      <c r="J26" s="13" t="n">
        <v>0.68</v>
      </c>
      <c r="K26" s="13" t="n">
        <v>0</v>
      </c>
      <c r="L26" s="13" t="n"/>
      <c r="M26" s="111">
        <f>IFERROR(IF(AND(H26&lt;&gt;"",I26&lt;&gt;""),ROUND(MAX(0,(I26-H26)*24-IF((I26-H26)*24&gt;=6,1,0)),2),IF(E26="△",4,0)),0)</f>
        <v/>
      </c>
    </row>
    <row r="27" ht="19.5" customHeight="1">
      <c r="A27" s="70" t="n">
        <v>46127</v>
      </c>
      <c r="B27" s="15" t="inlineStr">
        <is>
          <t>EMP011</t>
        </is>
      </c>
      <c r="C27" s="16" t="inlineStr">
        <is>
          <t>ディマス</t>
        </is>
      </c>
      <c r="D27" s="15" t="n"/>
      <c r="E27" s="15" t="inlineStr">
        <is>
          <t>○</t>
        </is>
      </c>
      <c r="F27" s="15" t="inlineStr">
        <is>
          <t>B</t>
        </is>
      </c>
      <c r="G27" s="16" t="inlineStr">
        <is>
          <t>健老町道路排水施設工事</t>
        </is>
      </c>
      <c r="H27" s="71" t="n">
        <v>0.3159722222222222</v>
      </c>
      <c r="I27" s="71" t="n">
        <v>0.7159722222222222</v>
      </c>
      <c r="J27" s="15" t="n">
        <v>0.6</v>
      </c>
      <c r="K27" s="15" t="n">
        <v>0</v>
      </c>
      <c r="L27" s="15" t="n"/>
      <c r="M27" s="111">
        <f>IFERROR(IF(AND(H27&lt;&gt;"",I27&lt;&gt;""),ROUND(MAX(0,(I27-H27)*24-IF((I27-H27)*24&gt;=6,1,0)),2),IF(E27="△",4,0)),0)</f>
        <v/>
      </c>
    </row>
    <row r="28" ht="19.5" customHeight="1">
      <c r="A28" s="68" t="n">
        <v>46128</v>
      </c>
      <c r="B28" s="13" t="inlineStr">
        <is>
          <t>EMP012</t>
        </is>
      </c>
      <c r="C28" s="14" t="inlineStr">
        <is>
          <t>山田ゆかり</t>
        </is>
      </c>
      <c r="D28" s="13" t="n"/>
      <c r="E28" s="13" t="inlineStr">
        <is>
          <t>○</t>
        </is>
      </c>
      <c r="F28" s="13" t="inlineStr">
        <is>
          <t>A</t>
        </is>
      </c>
      <c r="G28" s="14" t="inlineStr">
        <is>
          <t>会社</t>
        </is>
      </c>
      <c r="H28" s="69" t="n">
        <v>0.3631944444444444</v>
      </c>
      <c r="I28" s="69" t="n">
        <v>0.7111111111111111</v>
      </c>
      <c r="J28" s="13" t="n">
        <v>0</v>
      </c>
      <c r="K28" s="13" t="n">
        <v>0</v>
      </c>
      <c r="L28" s="13" t="n"/>
      <c r="M28" s="111">
        <f>IFERROR(IF(AND(H28&lt;&gt;"",I28&lt;&gt;""),ROUND(MAX(0,(I28-H28)*24-IF((I28-H28)*24&gt;=6,1,0)),2),IF(E28="△",4,0)),0)</f>
        <v/>
      </c>
    </row>
    <row r="29" ht="19.5" customHeight="1">
      <c r="A29" s="70" t="n">
        <v>46128</v>
      </c>
      <c r="B29" s="15" t="inlineStr">
        <is>
          <t>EMP016</t>
        </is>
      </c>
      <c r="C29" s="16" t="inlineStr">
        <is>
          <t>畑野浩次</t>
        </is>
      </c>
      <c r="D29" s="15" t="n"/>
      <c r="E29" s="15" t="inlineStr">
        <is>
          <t>○</t>
        </is>
      </c>
      <c r="F29" s="15" t="inlineStr">
        <is>
          <t>A</t>
        </is>
      </c>
      <c r="G29" s="16" t="inlineStr">
        <is>
          <t>会社</t>
        </is>
      </c>
      <c r="H29" s="71" t="n">
        <v>0.3604166666666667</v>
      </c>
      <c r="I29" s="71" t="n">
        <v>0.71875</v>
      </c>
      <c r="J29" s="15" t="n">
        <v>0</v>
      </c>
      <c r="K29" s="15" t="n">
        <v>0</v>
      </c>
      <c r="L29" s="15" t="n"/>
      <c r="M29" s="111">
        <f>IFERROR(IF(AND(H29&lt;&gt;"",I29&lt;&gt;""),ROUND(MAX(0,(I29-H29)*24-IF((I29-H29)*24&gt;=6,1,0)),2),IF(E29="△",4,0)),0)</f>
        <v/>
      </c>
    </row>
    <row r="30" ht="19.5" customHeight="1">
      <c r="A30" s="68" t="n">
        <v>46128</v>
      </c>
      <c r="B30" s="13" t="inlineStr">
        <is>
          <t>EMP013</t>
        </is>
      </c>
      <c r="C30" s="14" t="inlineStr">
        <is>
          <t>菊川裕美</t>
        </is>
      </c>
      <c r="D30" s="13" t="n"/>
      <c r="E30" s="13" t="inlineStr">
        <is>
          <t>○</t>
        </is>
      </c>
      <c r="F30" s="13" t="inlineStr">
        <is>
          <t>A</t>
        </is>
      </c>
      <c r="G30" s="14" t="inlineStr">
        <is>
          <t>会社</t>
        </is>
      </c>
      <c r="H30" s="69" t="n">
        <v>0.3645833333333333</v>
      </c>
      <c r="I30" s="69" t="n">
        <v>0.6284722222222222</v>
      </c>
      <c r="J30" s="13" t="n">
        <v>0</v>
      </c>
      <c r="K30" s="13" t="n">
        <v>0</v>
      </c>
      <c r="L30" s="13" t="n"/>
      <c r="M30" s="111">
        <f>IFERROR(IF(AND(H30&lt;&gt;"",I30&lt;&gt;""),ROUND(MAX(0,(I30-H30)*24-IF((I30-H30)*24&gt;=6,1,0)),2),IF(E30="△",4,0)),0)</f>
        <v/>
      </c>
    </row>
    <row r="31" ht="19.5" customHeight="1">
      <c r="A31" s="70" t="n">
        <v>46128</v>
      </c>
      <c r="B31" s="15" t="inlineStr">
        <is>
          <t>EMP017</t>
        </is>
      </c>
      <c r="C31" s="16" t="inlineStr">
        <is>
          <t>濱津紀子</t>
        </is>
      </c>
      <c r="D31" s="15" t="n"/>
      <c r="E31" s="15" t="inlineStr">
        <is>
          <t>○</t>
        </is>
      </c>
      <c r="F31" s="15" t="inlineStr">
        <is>
          <t>A</t>
        </is>
      </c>
      <c r="G31" s="16" t="inlineStr">
        <is>
          <t>会社</t>
        </is>
      </c>
      <c r="H31" s="71" t="n">
        <v>0.3715277777777778</v>
      </c>
      <c r="I31" s="71" t="n">
        <v>0.6270833333333333</v>
      </c>
      <c r="J31" s="15" t="n">
        <v>0</v>
      </c>
      <c r="K31" s="15" t="n">
        <v>0</v>
      </c>
      <c r="L31" s="15" t="n"/>
      <c r="M31" s="111">
        <f>IFERROR(IF(AND(H31&lt;&gt;"",I31&lt;&gt;""),ROUND(MAX(0,(I31-H31)*24-IF((I31-H31)*24&gt;=6,1,0)),2),IF(E31="△",4,0)),0)</f>
        <v/>
      </c>
    </row>
    <row r="32" ht="19.5" customHeight="1">
      <c r="A32" s="68" t="n">
        <v>46128</v>
      </c>
      <c r="B32" s="13" t="n"/>
      <c r="C32" s="14" t="inlineStr">
        <is>
          <t>河津 信貴</t>
        </is>
      </c>
      <c r="D32" s="13" t="n"/>
      <c r="E32" s="13" t="inlineStr">
        <is>
          <t>○</t>
        </is>
      </c>
      <c r="F32" s="13" t="inlineStr">
        <is>
          <t>B</t>
        </is>
      </c>
      <c r="G32" s="14" t="inlineStr">
        <is>
          <t>健老町道路排水施設工事</t>
        </is>
      </c>
      <c r="H32" s="69" t="n">
        <v>0.3263888888888889</v>
      </c>
      <c r="I32" s="69" t="n">
        <v>0.7194444444444444</v>
      </c>
      <c r="J32" s="13" t="n">
        <v>0.42</v>
      </c>
      <c r="K32" s="13" t="n">
        <v>0</v>
      </c>
      <c r="L32" s="13" t="n"/>
      <c r="M32" s="111">
        <f>IFERROR(IF(AND(H32&lt;&gt;"",I32&lt;&gt;""),ROUND(MAX(0,(I32-H32)*24-IF((I32-H32)*24&gt;=6,1,0)),2),IF(E32="△",4,0)),0)</f>
        <v/>
      </c>
    </row>
    <row r="33" ht="19.5" customHeight="1">
      <c r="A33" s="70" t="n">
        <v>46128</v>
      </c>
      <c r="B33" s="15" t="n"/>
      <c r="C33" s="16" t="inlineStr">
        <is>
          <t>宮川正利</t>
        </is>
      </c>
      <c r="D33" s="15" t="n"/>
      <c r="E33" s="15" t="inlineStr">
        <is>
          <t>○</t>
        </is>
      </c>
      <c r="F33" s="15" t="inlineStr">
        <is>
          <t>B</t>
        </is>
      </c>
      <c r="G33" s="16" t="inlineStr">
        <is>
          <t>健老町道路排水施設工事</t>
        </is>
      </c>
      <c r="H33" s="71" t="n">
        <v>0.3173611111111111</v>
      </c>
      <c r="I33" s="71" t="n">
        <v>0.7194444444444444</v>
      </c>
      <c r="J33" s="15" t="n">
        <v>0.65</v>
      </c>
      <c r="K33" s="15" t="n">
        <v>0</v>
      </c>
      <c r="L33" s="15" t="n"/>
      <c r="M33" s="111">
        <f>IFERROR(IF(AND(H33&lt;&gt;"",I33&lt;&gt;""),ROUND(MAX(0,(I33-H33)*24-IF((I33-H33)*24&gt;=6,1,0)),2),IF(E33="△",4,0)),0)</f>
        <v/>
      </c>
    </row>
    <row r="34" ht="19.5" customHeight="1">
      <c r="A34" s="68" t="n">
        <v>46128</v>
      </c>
      <c r="B34" s="13" t="inlineStr">
        <is>
          <t>EMP002</t>
        </is>
      </c>
      <c r="C34" s="14" t="inlineStr">
        <is>
          <t>中原義範</t>
        </is>
      </c>
      <c r="D34" s="13" t="n"/>
      <c r="E34" s="13" t="inlineStr">
        <is>
          <t>○</t>
        </is>
      </c>
      <c r="F34" s="13" t="inlineStr">
        <is>
          <t>A</t>
        </is>
      </c>
      <c r="G34" s="14" t="inlineStr">
        <is>
          <t>会社</t>
        </is>
      </c>
      <c r="H34" s="69" t="n">
        <v>0.3701388888888889</v>
      </c>
      <c r="I34" s="69" t="n">
        <v>0.7368055555555556</v>
      </c>
      <c r="J34" s="13" t="n">
        <v>0</v>
      </c>
      <c r="K34" s="13" t="n">
        <v>0</v>
      </c>
      <c r="L34" s="13" t="n"/>
      <c r="M34" s="111">
        <f>IFERROR(IF(AND(H34&lt;&gt;"",I34&lt;&gt;""),ROUND(MAX(0,(I34-H34)*24-IF((I34-H34)*24&gt;=6,1,0)),2),IF(E34="△",4,0)),0)</f>
        <v/>
      </c>
    </row>
    <row r="35" ht="19.5" customHeight="1">
      <c r="A35" s="70" t="n">
        <v>46128</v>
      </c>
      <c r="B35" s="15" t="inlineStr">
        <is>
          <t>EMP004</t>
        </is>
      </c>
      <c r="C35" s="16" t="inlineStr">
        <is>
          <t>中原裟也茄</t>
        </is>
      </c>
      <c r="D35" s="15" t="n"/>
      <c r="E35" s="15" t="inlineStr">
        <is>
          <t>○</t>
        </is>
      </c>
      <c r="F35" s="15" t="inlineStr">
        <is>
          <t>A</t>
        </is>
      </c>
      <c r="G35" s="16" t="inlineStr">
        <is>
          <t>会社</t>
        </is>
      </c>
      <c r="H35" s="71" t="n">
        <v>0.3333333333333333</v>
      </c>
      <c r="I35" s="71" t="n">
        <v>0.7986111111111112</v>
      </c>
      <c r="J35" s="15" t="n">
        <v>2.15</v>
      </c>
      <c r="K35" s="15" t="n">
        <v>0</v>
      </c>
      <c r="L35" s="15" t="n"/>
      <c r="M35" s="111">
        <f>IFERROR(IF(AND(H35&lt;&gt;"",I35&lt;&gt;""),ROUND(MAX(0,(I35-H35)*24-IF((I35-H35)*24&gt;=6,1,0)),2),IF(E35="△",4,0)),0)</f>
        <v/>
      </c>
    </row>
    <row r="36" ht="19.5" customHeight="1">
      <c r="A36" s="68" t="n">
        <v>46128</v>
      </c>
      <c r="B36" s="13" t="inlineStr">
        <is>
          <t>EMP007</t>
        </is>
      </c>
      <c r="C36" s="14" t="inlineStr">
        <is>
          <t>中原宏</t>
        </is>
      </c>
      <c r="D36" s="13" t="n"/>
      <c r="E36" s="13" t="inlineStr">
        <is>
          <t>○</t>
        </is>
      </c>
      <c r="F36" s="13" t="inlineStr">
        <is>
          <t>B</t>
        </is>
      </c>
      <c r="G36" s="14" t="inlineStr">
        <is>
          <t>健老町道路排水施設工事</t>
        </is>
      </c>
      <c r="H36" s="69" t="n">
        <v>0.3333333333333333</v>
      </c>
      <c r="I36" s="69" t="n">
        <v>0.7145833333333333</v>
      </c>
      <c r="J36" s="13" t="n">
        <v>0.15</v>
      </c>
      <c r="K36" s="13" t="n">
        <v>0</v>
      </c>
      <c r="L36" s="13" t="n"/>
      <c r="M36" s="111">
        <f>IFERROR(IF(AND(H36&lt;&gt;"",I36&lt;&gt;""),ROUND(MAX(0,(I36-H36)*24-IF((I36-H36)*24&gt;=6,1,0)),2),IF(E36="△",4,0)),0)</f>
        <v/>
      </c>
    </row>
    <row r="37" ht="19.5" customHeight="1">
      <c r="A37" s="70" t="n">
        <v>46128</v>
      </c>
      <c r="B37" s="15" t="inlineStr">
        <is>
          <t>EMP003</t>
        </is>
      </c>
      <c r="C37" s="16" t="inlineStr">
        <is>
          <t>有田忍</t>
        </is>
      </c>
      <c r="D37" s="15" t="n"/>
      <c r="E37" s="15" t="inlineStr">
        <is>
          <t>○</t>
        </is>
      </c>
      <c r="F37" s="15" t="inlineStr">
        <is>
          <t>B</t>
        </is>
      </c>
      <c r="G37" s="16" t="inlineStr">
        <is>
          <t>健老町道路排水施設工事</t>
        </is>
      </c>
      <c r="H37" s="71" t="n">
        <v>0.3236111111111111</v>
      </c>
      <c r="I37" s="71" t="n">
        <v>0.8173611111111111</v>
      </c>
      <c r="J37" s="15" t="n">
        <v>2.83</v>
      </c>
      <c r="K37" s="15" t="n">
        <v>0</v>
      </c>
      <c r="L37" s="15" t="n"/>
      <c r="M37" s="111">
        <f>IFERROR(IF(AND(H37&lt;&gt;"",I37&lt;&gt;""),ROUND(MAX(0,(I37-H37)*24-IF((I37-H37)*24&gt;=6,1,0)),2),IF(E37="△",4,0)),0)</f>
        <v/>
      </c>
    </row>
    <row r="38" ht="19.5" customHeight="1">
      <c r="A38" s="68" t="n">
        <v>46128</v>
      </c>
      <c r="B38" s="13" t="inlineStr">
        <is>
          <t>EMP009</t>
        </is>
      </c>
      <c r="C38" s="14" t="inlineStr">
        <is>
          <t>ヨザ</t>
        </is>
      </c>
      <c r="D38" s="13" t="n"/>
      <c r="E38" s="13" t="inlineStr">
        <is>
          <t>○</t>
        </is>
      </c>
      <c r="F38" s="13" t="inlineStr">
        <is>
          <t>B</t>
        </is>
      </c>
      <c r="G38" s="14" t="inlineStr">
        <is>
          <t>健老町道路排水施設工事</t>
        </is>
      </c>
      <c r="H38" s="69" t="n">
        <v>0.3034722222222222</v>
      </c>
      <c r="I38" s="69" t="n">
        <v>0.7173611111111111</v>
      </c>
      <c r="J38" s="13" t="n">
        <v>0.93</v>
      </c>
      <c r="K38" s="13" t="n">
        <v>0</v>
      </c>
      <c r="L38" s="13" t="n"/>
      <c r="M38" s="111">
        <f>IFERROR(IF(AND(H38&lt;&gt;"",I38&lt;&gt;""),ROUND(MAX(0,(I38-H38)*24-IF((I38-H38)*24&gt;=6,1,0)),2),IF(E38="△",4,0)),0)</f>
        <v/>
      </c>
    </row>
    <row r="39" ht="19.5" customHeight="1">
      <c r="A39" s="70" t="n">
        <v>46128</v>
      </c>
      <c r="B39" s="15" t="inlineStr">
        <is>
          <t>EMP008</t>
        </is>
      </c>
      <c r="C39" s="16" t="inlineStr">
        <is>
          <t>アルフィ</t>
        </is>
      </c>
      <c r="D39" s="15" t="n"/>
      <c r="E39" s="15" t="inlineStr">
        <is>
          <t>○</t>
        </is>
      </c>
      <c r="F39" s="15" t="inlineStr">
        <is>
          <t>B</t>
        </is>
      </c>
      <c r="G39" s="16" t="inlineStr">
        <is>
          <t>健老町道路排水施設工事</t>
        </is>
      </c>
      <c r="H39" s="71" t="n">
        <v>0.3027777777777778</v>
      </c>
      <c r="I39" s="71" t="n">
        <v>0.7166666666666667</v>
      </c>
      <c r="J39" s="15" t="n">
        <v>0.93</v>
      </c>
      <c r="K39" s="15" t="n">
        <v>0</v>
      </c>
      <c r="L39" s="15" t="n"/>
      <c r="M39" s="111">
        <f>IFERROR(IF(AND(H39&lt;&gt;"",I39&lt;&gt;""),ROUND(MAX(0,(I39-H39)*24-IF((I39-H39)*24&gt;=6,1,0)),2),IF(E39="△",4,0)),0)</f>
        <v/>
      </c>
    </row>
    <row r="40" ht="19.5" customHeight="1">
      <c r="A40" s="68" t="n">
        <v>46128</v>
      </c>
      <c r="B40" s="13" t="inlineStr">
        <is>
          <t>EMP010</t>
        </is>
      </c>
      <c r="C40" s="14" t="inlineStr">
        <is>
          <t>リズキ</t>
        </is>
      </c>
      <c r="D40" s="13" t="n"/>
      <c r="E40" s="13" t="inlineStr">
        <is>
          <t>○</t>
        </is>
      </c>
      <c r="F40" s="13" t="inlineStr">
        <is>
          <t>B</t>
        </is>
      </c>
      <c r="G40" s="14" t="inlineStr">
        <is>
          <t>健老町道路排水施設工事</t>
        </is>
      </c>
      <c r="H40" s="69" t="n">
        <v>0.3083333333333333</v>
      </c>
      <c r="I40" s="69" t="n">
        <v>0.7180555555555556</v>
      </c>
      <c r="J40" s="13" t="n">
        <v>0.83</v>
      </c>
      <c r="K40" s="13" t="n">
        <v>0</v>
      </c>
      <c r="L40" s="13" t="n"/>
      <c r="M40" s="111">
        <f>IFERROR(IF(AND(H40&lt;&gt;"",I40&lt;&gt;""),ROUND(MAX(0,(I40-H40)*24-IF((I40-H40)*24&gt;=6,1,0)),2),IF(E40="△",4,0)),0)</f>
        <v/>
      </c>
    </row>
    <row r="41" ht="19.5" customHeight="1">
      <c r="A41" s="70" t="n">
        <v>46128</v>
      </c>
      <c r="B41" s="15" t="inlineStr">
        <is>
          <t>EMP011</t>
        </is>
      </c>
      <c r="C41" s="16" t="inlineStr">
        <is>
          <t>ディマス</t>
        </is>
      </c>
      <c r="D41" s="15" t="n"/>
      <c r="E41" s="15" t="inlineStr">
        <is>
          <t>○</t>
        </is>
      </c>
      <c r="F41" s="15" t="inlineStr">
        <is>
          <t>B</t>
        </is>
      </c>
      <c r="G41" s="16" t="inlineStr">
        <is>
          <t>健老町道路排水施設工事</t>
        </is>
      </c>
      <c r="H41" s="71" t="n">
        <v>0.3104166666666667</v>
      </c>
      <c r="I41" s="71" t="n">
        <v>0.7152777777777778</v>
      </c>
      <c r="J41" s="15" t="n">
        <v>0.7</v>
      </c>
      <c r="K41" s="15" t="n">
        <v>0</v>
      </c>
      <c r="L41" s="15" t="n"/>
      <c r="M41" s="111">
        <f>IFERROR(IF(AND(H41&lt;&gt;"",I41&lt;&gt;""),ROUND(MAX(0,(I41-H41)*24-IF((I41-H41)*24&gt;=6,1,0)),2),IF(E41="△",4,0)),0)</f>
        <v/>
      </c>
    </row>
    <row r="42" ht="19.5" customHeight="1">
      <c r="A42" s="68" t="n">
        <v>46129</v>
      </c>
      <c r="B42" s="13" t="inlineStr">
        <is>
          <t>EMP012</t>
        </is>
      </c>
      <c r="C42" s="14" t="inlineStr">
        <is>
          <t>山田ゆかり</t>
        </is>
      </c>
      <c r="D42" s="13" t="n"/>
      <c r="E42" s="13" t="inlineStr">
        <is>
          <t>○</t>
        </is>
      </c>
      <c r="F42" s="13" t="inlineStr">
        <is>
          <t>A</t>
        </is>
      </c>
      <c r="G42" s="14" t="inlineStr">
        <is>
          <t>会社</t>
        </is>
      </c>
      <c r="H42" s="69" t="n">
        <v>0.3631944444444444</v>
      </c>
      <c r="I42" s="69" t="n">
        <v>0.7097222222222223</v>
      </c>
      <c r="J42" s="13" t="n">
        <v>0</v>
      </c>
      <c r="K42" s="13" t="n">
        <v>0</v>
      </c>
      <c r="L42" s="13" t="n"/>
      <c r="M42" s="111">
        <f>IFERROR(IF(AND(H42&lt;&gt;"",I42&lt;&gt;""),ROUND(MAX(0,(I42-H42)*24-IF((I42-H42)*24&gt;=6,1,0)),2),IF(E42="△",4,0)),0)</f>
        <v/>
      </c>
    </row>
    <row r="43" ht="19.5" customHeight="1">
      <c r="A43" s="70" t="n">
        <v>46129</v>
      </c>
      <c r="B43" s="15" t="inlineStr">
        <is>
          <t>EMP016</t>
        </is>
      </c>
      <c r="C43" s="16" t="inlineStr">
        <is>
          <t>畑野浩次</t>
        </is>
      </c>
      <c r="D43" s="15" t="n"/>
      <c r="E43" s="15" t="inlineStr">
        <is>
          <t>○</t>
        </is>
      </c>
      <c r="F43" s="15" t="inlineStr">
        <is>
          <t>A</t>
        </is>
      </c>
      <c r="G43" s="16" t="inlineStr">
        <is>
          <t>会社</t>
        </is>
      </c>
      <c r="H43" s="71" t="n">
        <v>0.3631944444444444</v>
      </c>
      <c r="I43" s="71" t="n">
        <v>0.7118055555555556</v>
      </c>
      <c r="J43" s="15" t="n">
        <v>0</v>
      </c>
      <c r="K43" s="15" t="n">
        <v>0</v>
      </c>
      <c r="L43" s="15" t="n"/>
      <c r="M43" s="111">
        <f>IFERROR(IF(AND(H43&lt;&gt;"",I43&lt;&gt;""),ROUND(MAX(0,(I43-H43)*24-IF((I43-H43)*24&gt;=6,1,0)),2),IF(E43="△",4,0)),0)</f>
        <v/>
      </c>
    </row>
    <row r="44" ht="19.5" customHeight="1">
      <c r="A44" s="68" t="n">
        <v>46129</v>
      </c>
      <c r="B44" s="13" t="inlineStr">
        <is>
          <t>EMP013</t>
        </is>
      </c>
      <c r="C44" s="14" t="inlineStr">
        <is>
          <t>菊川裕美</t>
        </is>
      </c>
      <c r="D44" s="13" t="n"/>
      <c r="E44" s="13" t="inlineStr">
        <is>
          <t>○</t>
        </is>
      </c>
      <c r="F44" s="13" t="inlineStr">
        <is>
          <t>A</t>
        </is>
      </c>
      <c r="G44" s="14" t="inlineStr">
        <is>
          <t>会社</t>
        </is>
      </c>
      <c r="H44" s="69" t="n">
        <v>0.3701388888888889</v>
      </c>
      <c r="I44" s="69" t="n">
        <v>0.6270833333333333</v>
      </c>
      <c r="J44" s="13" t="n">
        <v>0</v>
      </c>
      <c r="K44" s="13" t="n">
        <v>0</v>
      </c>
      <c r="L44" s="13" t="n"/>
      <c r="M44" s="111">
        <f>IFERROR(IF(AND(H44&lt;&gt;"",I44&lt;&gt;""),ROUND(MAX(0,(I44-H44)*24-IF((I44-H44)*24&gt;=6,1,0)),2),IF(E44="△",4,0)),0)</f>
        <v/>
      </c>
    </row>
    <row r="45" ht="19.5" customHeight="1">
      <c r="A45" s="70" t="n">
        <v>46129</v>
      </c>
      <c r="B45" s="15" t="inlineStr">
        <is>
          <t>EMP017</t>
        </is>
      </c>
      <c r="C45" s="16" t="inlineStr">
        <is>
          <t>濱津紀子</t>
        </is>
      </c>
      <c r="D45" s="15" t="n"/>
      <c r="E45" s="15" t="inlineStr">
        <is>
          <t>○</t>
        </is>
      </c>
      <c r="F45" s="15" t="inlineStr">
        <is>
          <t>A</t>
        </is>
      </c>
      <c r="G45" s="16" t="inlineStr">
        <is>
          <t>会社</t>
        </is>
      </c>
      <c r="H45" s="71" t="n">
        <v>0.3736111111111111</v>
      </c>
      <c r="I45" s="71" t="n">
        <v>0.6277777777777778</v>
      </c>
      <c r="J45" s="15" t="n">
        <v>0</v>
      </c>
      <c r="K45" s="15" t="n">
        <v>0</v>
      </c>
      <c r="L45" s="15" t="n"/>
      <c r="M45" s="111">
        <f>IFERROR(IF(AND(H45&lt;&gt;"",I45&lt;&gt;""),ROUND(MAX(0,(I45-H45)*24-IF((I45-H45)*24&gt;=6,1,0)),2),IF(E45="△",4,0)),0)</f>
        <v/>
      </c>
    </row>
    <row r="46" ht="19.5" customHeight="1">
      <c r="A46" s="68" t="n">
        <v>46129</v>
      </c>
      <c r="B46" s="13" t="n"/>
      <c r="C46" s="14" t="inlineStr">
        <is>
          <t>河津 信貴</t>
        </is>
      </c>
      <c r="D46" s="13" t="n"/>
      <c r="E46" s="13" t="inlineStr">
        <is>
          <t>○</t>
        </is>
      </c>
      <c r="F46" s="13" t="inlineStr">
        <is>
          <t>B</t>
        </is>
      </c>
      <c r="G46" s="14" t="inlineStr">
        <is>
          <t>健老町道路排水施設工事</t>
        </is>
      </c>
      <c r="H46" s="69" t="n">
        <v>0.3236111111111111</v>
      </c>
      <c r="I46" s="69" t="n">
        <v>0.71875</v>
      </c>
      <c r="J46" s="13" t="n">
        <v>0.48</v>
      </c>
      <c r="K46" s="13" t="n">
        <v>0</v>
      </c>
      <c r="L46" s="13" t="n"/>
      <c r="M46" s="111">
        <f>IFERROR(IF(AND(H46&lt;&gt;"",I46&lt;&gt;""),ROUND(MAX(0,(I46-H46)*24-IF((I46-H46)*24&gt;=6,1,0)),2),IF(E46="△",4,0)),0)</f>
        <v/>
      </c>
    </row>
    <row r="47" ht="19.5" customHeight="1">
      <c r="A47" s="70" t="n">
        <v>46129</v>
      </c>
      <c r="B47" s="15" t="n"/>
      <c r="C47" s="16" t="inlineStr">
        <is>
          <t>宮川正利</t>
        </is>
      </c>
      <c r="D47" s="15" t="n"/>
      <c r="E47" s="15" t="inlineStr">
        <is>
          <t>○</t>
        </is>
      </c>
      <c r="F47" s="15" t="inlineStr">
        <is>
          <t>B</t>
        </is>
      </c>
      <c r="G47" s="16" t="inlineStr">
        <is>
          <t>健老町道路排水施設工事</t>
        </is>
      </c>
      <c r="H47" s="71" t="n">
        <v>0.3236111111111111</v>
      </c>
      <c r="I47" s="71" t="n">
        <v>0.7201388888888889</v>
      </c>
      <c r="J47" s="15" t="n">
        <v>0.52</v>
      </c>
      <c r="K47" s="15" t="n">
        <v>0</v>
      </c>
      <c r="L47" s="15" t="n"/>
      <c r="M47" s="111">
        <f>IFERROR(IF(AND(H47&lt;&gt;"",I47&lt;&gt;""),ROUND(MAX(0,(I47-H47)*24-IF((I47-H47)*24&gt;=6,1,0)),2),IF(E47="△",4,0)),0)</f>
        <v/>
      </c>
    </row>
    <row r="48" ht="19.5" customHeight="1">
      <c r="A48" s="68" t="n">
        <v>46129</v>
      </c>
      <c r="B48" s="13" t="inlineStr">
        <is>
          <t>EMP002</t>
        </is>
      </c>
      <c r="C48" s="14" t="inlineStr">
        <is>
          <t>中原義範</t>
        </is>
      </c>
      <c r="D48" s="13" t="n"/>
      <c r="E48" s="13" t="inlineStr">
        <is>
          <t>○</t>
        </is>
      </c>
      <c r="F48" s="13" t="inlineStr">
        <is>
          <t>A</t>
        </is>
      </c>
      <c r="G48" s="14" t="inlineStr">
        <is>
          <t>会社</t>
        </is>
      </c>
      <c r="H48" s="69" t="n">
        <v>0.35625</v>
      </c>
      <c r="I48" s="69" t="n">
        <v>0.725</v>
      </c>
      <c r="J48" s="13" t="n">
        <v>0</v>
      </c>
      <c r="K48" s="13" t="n">
        <v>0</v>
      </c>
      <c r="L48" s="13" t="n"/>
      <c r="M48" s="111">
        <f>IFERROR(IF(AND(H48&lt;&gt;"",I48&lt;&gt;""),ROUND(MAX(0,(I48-H48)*24-IF((I48-H48)*24&gt;=6,1,0)),2),IF(E48="△",4,0)),0)</f>
        <v/>
      </c>
    </row>
    <row r="49" ht="19.5" customHeight="1">
      <c r="A49" s="70" t="n">
        <v>46129</v>
      </c>
      <c r="B49" s="15" t="inlineStr">
        <is>
          <t>EMP004</t>
        </is>
      </c>
      <c r="C49" s="16" t="inlineStr">
        <is>
          <t>中原裟也茄</t>
        </is>
      </c>
      <c r="D49" s="15" t="n"/>
      <c r="E49" s="15" t="inlineStr">
        <is>
          <t>○</t>
        </is>
      </c>
      <c r="F49" s="15" t="inlineStr">
        <is>
          <t>A</t>
        </is>
      </c>
      <c r="G49" s="16" t="inlineStr">
        <is>
          <t>会社</t>
        </is>
      </c>
      <c r="H49" s="71" t="n">
        <v>0.3375</v>
      </c>
      <c r="I49" s="71" t="n">
        <v>0.8576388888888888</v>
      </c>
      <c r="J49" s="15" t="n">
        <v>3.48</v>
      </c>
      <c r="K49" s="15" t="n">
        <v>0</v>
      </c>
      <c r="L49" s="15" t="n"/>
      <c r="M49" s="111">
        <f>IFERROR(IF(AND(H49&lt;&gt;"",I49&lt;&gt;""),ROUND(MAX(0,(I49-H49)*24-IF((I49-H49)*24&gt;=6,1,0)),2),IF(E49="△",4,0)),0)</f>
        <v/>
      </c>
    </row>
    <row r="50" ht="19.5" customHeight="1">
      <c r="A50" s="68" t="n">
        <v>46129</v>
      </c>
      <c r="B50" s="13" t="inlineStr">
        <is>
          <t>EMP007</t>
        </is>
      </c>
      <c r="C50" s="14" t="inlineStr">
        <is>
          <t>中原宏</t>
        </is>
      </c>
      <c r="D50" s="13" t="n"/>
      <c r="E50" s="13" t="inlineStr">
        <is>
          <t>○</t>
        </is>
      </c>
      <c r="F50" s="13" t="inlineStr">
        <is>
          <t>C</t>
        </is>
      </c>
      <c r="G50" s="14" t="inlineStr">
        <is>
          <t>四山海岸高潮対策工事</t>
        </is>
      </c>
      <c r="H50" s="69" t="n">
        <v>0.3333333333333333</v>
      </c>
      <c r="I50" s="69" t="n">
        <v>0.7083333333333334</v>
      </c>
      <c r="J50" s="13" t="n">
        <v>0</v>
      </c>
      <c r="K50" s="13" t="n">
        <v>0</v>
      </c>
      <c r="L50" s="13" t="n"/>
      <c r="M50" s="111">
        <f>IFERROR(IF(AND(H50&lt;&gt;"",I50&lt;&gt;""),ROUND(MAX(0,(I50-H50)*24-IF((I50-H50)*24&gt;=6,1,0)),2),IF(E50="△",4,0)),0)</f>
        <v/>
      </c>
    </row>
    <row r="51" ht="19.5" customHeight="1">
      <c r="A51" s="70" t="n">
        <v>46129</v>
      </c>
      <c r="B51" s="15" t="inlineStr">
        <is>
          <t>EMP003</t>
        </is>
      </c>
      <c r="C51" s="16" t="inlineStr">
        <is>
          <t>有田忍</t>
        </is>
      </c>
      <c r="D51" s="15" t="n"/>
      <c r="E51" s="15" t="inlineStr">
        <is>
          <t>○</t>
        </is>
      </c>
      <c r="F51" s="15" t="inlineStr">
        <is>
          <t>B</t>
        </is>
      </c>
      <c r="G51" s="16" t="inlineStr">
        <is>
          <t>健老町道路排水施設工事</t>
        </is>
      </c>
      <c r="H51" s="71" t="n">
        <v>0.3201388888888889</v>
      </c>
      <c r="I51" s="71" t="n">
        <v>0.7555555555555555</v>
      </c>
      <c r="J51" s="15" t="n">
        <v>1.43</v>
      </c>
      <c r="K51" s="15" t="n">
        <v>0</v>
      </c>
      <c r="L51" s="15" t="n"/>
      <c r="M51" s="111">
        <f>IFERROR(IF(AND(H51&lt;&gt;"",I51&lt;&gt;""),ROUND(MAX(0,(I51-H51)*24-IF((I51-H51)*24&gt;=6,1,0)),2),IF(E51="△",4,0)),0)</f>
        <v/>
      </c>
    </row>
    <row r="52" ht="19.5" customHeight="1">
      <c r="A52" s="68" t="n">
        <v>46129</v>
      </c>
      <c r="B52" s="13" t="inlineStr">
        <is>
          <t>EMP009</t>
        </is>
      </c>
      <c r="C52" s="14" t="inlineStr">
        <is>
          <t>ヨザ</t>
        </is>
      </c>
      <c r="D52" s="13" t="n"/>
      <c r="E52" s="13" t="inlineStr">
        <is>
          <t>○</t>
        </is>
      </c>
      <c r="F52" s="13" t="inlineStr">
        <is>
          <t>B</t>
        </is>
      </c>
      <c r="G52" s="14" t="inlineStr">
        <is>
          <t>健老町道路排水施設工事</t>
        </is>
      </c>
      <c r="H52" s="69" t="n">
        <v>0.3083333333333333</v>
      </c>
      <c r="I52" s="69" t="n">
        <v>0.7173611111111111</v>
      </c>
      <c r="J52" s="13" t="n">
        <v>0.8</v>
      </c>
      <c r="K52" s="13" t="n">
        <v>0</v>
      </c>
      <c r="L52" s="13" t="n"/>
      <c r="M52" s="111">
        <f>IFERROR(IF(AND(H52&lt;&gt;"",I52&lt;&gt;""),ROUND(MAX(0,(I52-H52)*24-IF((I52-H52)*24&gt;=6,1,0)),2),IF(E52="△",4,0)),0)</f>
        <v/>
      </c>
    </row>
    <row r="53" ht="19.5" customHeight="1">
      <c r="A53" s="70" t="n">
        <v>46129</v>
      </c>
      <c r="B53" s="15" t="inlineStr">
        <is>
          <t>EMP008</t>
        </is>
      </c>
      <c r="C53" s="16" t="inlineStr">
        <is>
          <t>アルフィ</t>
        </is>
      </c>
      <c r="D53" s="15" t="n"/>
      <c r="E53" s="15" t="inlineStr">
        <is>
          <t>○</t>
        </is>
      </c>
      <c r="F53" s="15" t="inlineStr">
        <is>
          <t>B</t>
        </is>
      </c>
      <c r="G53" s="16" t="inlineStr">
        <is>
          <t>健老町道路排水施設工事</t>
        </is>
      </c>
      <c r="H53" s="71" t="n">
        <v>0.3083333333333333</v>
      </c>
      <c r="I53" s="71" t="n">
        <v>0.7166666666666667</v>
      </c>
      <c r="J53" s="15" t="n">
        <v>0.8</v>
      </c>
      <c r="K53" s="15" t="n">
        <v>0</v>
      </c>
      <c r="L53" s="15" t="n"/>
      <c r="M53" s="111">
        <f>IFERROR(IF(AND(H53&lt;&gt;"",I53&lt;&gt;""),ROUND(MAX(0,(I53-H53)*24-IF((I53-H53)*24&gt;=6,1,0)),2),IF(E53="△",4,0)),0)</f>
        <v/>
      </c>
    </row>
    <row r="54" ht="19.5" customHeight="1">
      <c r="A54" s="68" t="n">
        <v>46129</v>
      </c>
      <c r="B54" s="13" t="inlineStr">
        <is>
          <t>EMP010</t>
        </is>
      </c>
      <c r="C54" s="14" t="inlineStr">
        <is>
          <t>リズキ</t>
        </is>
      </c>
      <c r="D54" s="13" t="n"/>
      <c r="E54" s="13" t="inlineStr">
        <is>
          <t>○</t>
        </is>
      </c>
      <c r="F54" s="13" t="inlineStr">
        <is>
          <t>B</t>
        </is>
      </c>
      <c r="G54" s="14" t="inlineStr">
        <is>
          <t>健老町道路排水施設工事</t>
        </is>
      </c>
      <c r="H54" s="69" t="n">
        <v>0.3125</v>
      </c>
      <c r="I54" s="69" t="n">
        <v>0.7180555555555556</v>
      </c>
      <c r="J54" s="13" t="n">
        <v>0.72</v>
      </c>
      <c r="K54" s="13" t="n">
        <v>0</v>
      </c>
      <c r="L54" s="13" t="n"/>
      <c r="M54" s="111">
        <f>IFERROR(IF(AND(H54&lt;&gt;"",I54&lt;&gt;""),ROUND(MAX(0,(I54-H54)*24-IF((I54-H54)*24&gt;=6,1,0)),2),IF(E54="△",4,0)),0)</f>
        <v/>
      </c>
    </row>
    <row r="55" ht="19.5" customHeight="1">
      <c r="A55" s="70" t="n">
        <v>46129</v>
      </c>
      <c r="B55" s="15" t="inlineStr">
        <is>
          <t>EMP011</t>
        </is>
      </c>
      <c r="C55" s="16" t="inlineStr">
        <is>
          <t>ディマス</t>
        </is>
      </c>
      <c r="D55" s="15" t="n"/>
      <c r="E55" s="15" t="inlineStr">
        <is>
          <t>○</t>
        </is>
      </c>
      <c r="F55" s="15" t="inlineStr">
        <is>
          <t>B</t>
        </is>
      </c>
      <c r="G55" s="16" t="inlineStr">
        <is>
          <t>健老町道路排水施設工事</t>
        </is>
      </c>
      <c r="H55" s="71" t="n">
        <v>0.3236111111111111</v>
      </c>
      <c r="I55" s="71" t="n">
        <v>0.71875</v>
      </c>
      <c r="J55" s="15" t="n">
        <v>0.47</v>
      </c>
      <c r="K55" s="15" t="n">
        <v>0</v>
      </c>
      <c r="L55" s="15" t="n"/>
      <c r="M55" s="111">
        <f>IFERROR(IF(AND(H55&lt;&gt;"",I55&lt;&gt;""),ROUND(MAX(0,(I55-H55)*24-IF((I55-H55)*24&gt;=6,1,0)),2),IF(E55="△",4,0)),0)</f>
        <v/>
      </c>
    </row>
    <row r="56" ht="19.5" customHeight="1">
      <c r="A56" s="68" t="n">
        <v>46130</v>
      </c>
      <c r="B56" s="13" t="n"/>
      <c r="C56" s="14" t="inlineStr">
        <is>
          <t>宮川正利</t>
        </is>
      </c>
      <c r="D56" s="13" t="n"/>
      <c r="E56" s="13" t="inlineStr">
        <is>
          <t>○</t>
        </is>
      </c>
      <c r="F56" s="13" t="inlineStr">
        <is>
          <t>B</t>
        </is>
      </c>
      <c r="G56" s="14" t="inlineStr">
        <is>
          <t>健老町道路排水施設工事</t>
        </is>
      </c>
      <c r="H56" s="69" t="n">
        <v>0.3319444444444444</v>
      </c>
      <c r="I56" s="69" t="n">
        <v>0.7145833333333333</v>
      </c>
      <c r="J56" s="13" t="n">
        <v>0.17</v>
      </c>
      <c r="K56" s="13" t="n">
        <v>0</v>
      </c>
      <c r="L56" s="13" t="n"/>
      <c r="M56" s="111">
        <f>IFERROR(IF(AND(H56&lt;&gt;"",I56&lt;&gt;""),ROUND(MAX(0,(I56-H56)*24-IF((I56-H56)*24&gt;=6,1,0)),2),IF(E56="△",4,0)),0)</f>
        <v/>
      </c>
    </row>
    <row r="57" ht="19.5" customHeight="1">
      <c r="A57" s="70" t="n">
        <v>46130</v>
      </c>
      <c r="B57" s="15" t="inlineStr">
        <is>
          <t>EMP002</t>
        </is>
      </c>
      <c r="C57" s="16" t="inlineStr">
        <is>
          <t>中原義範</t>
        </is>
      </c>
      <c r="D57" s="15" t="n"/>
      <c r="E57" s="15" t="inlineStr">
        <is>
          <t>○</t>
        </is>
      </c>
      <c r="F57" s="15" t="inlineStr">
        <is>
          <t>A</t>
        </is>
      </c>
      <c r="G57" s="16" t="inlineStr">
        <is>
          <t>会社</t>
        </is>
      </c>
      <c r="H57" s="71" t="n">
        <v>0.3319444444444444</v>
      </c>
      <c r="I57" s="71" t="n">
        <v>0.7347222222222223</v>
      </c>
      <c r="J57" s="15" t="n">
        <v>0.65</v>
      </c>
      <c r="K57" s="15" t="n">
        <v>0</v>
      </c>
      <c r="L57" s="15" t="n"/>
      <c r="M57" s="111">
        <f>IFERROR(IF(AND(H57&lt;&gt;"",I57&lt;&gt;""),ROUND(MAX(0,(I57-H57)*24-IF((I57-H57)*24&gt;=6,1,0)),2),IF(E57="△",4,0)),0)</f>
        <v/>
      </c>
    </row>
    <row r="58" ht="19.5" customHeight="1">
      <c r="A58" s="68" t="n">
        <v>46130</v>
      </c>
      <c r="B58" s="13" t="inlineStr">
        <is>
          <t>EMP004</t>
        </is>
      </c>
      <c r="C58" s="14" t="inlineStr">
        <is>
          <t>中原裟也茄</t>
        </is>
      </c>
      <c r="D58" s="13" t="n"/>
      <c r="E58" s="13" t="inlineStr">
        <is>
          <t>○</t>
        </is>
      </c>
      <c r="F58" s="13" t="inlineStr">
        <is>
          <t>C</t>
        </is>
      </c>
      <c r="G58" s="14" t="inlineStr">
        <is>
          <t>四山海岸高潮対策工事</t>
        </is>
      </c>
      <c r="H58" s="69" t="n">
        <v>0.3611111111111111</v>
      </c>
      <c r="I58" s="69" t="n">
        <v>0.7958333333333333</v>
      </c>
      <c r="J58" s="13" t="n">
        <v>1.43</v>
      </c>
      <c r="K58" s="13" t="n">
        <v>0</v>
      </c>
      <c r="L58" s="13" t="n"/>
      <c r="M58" s="111">
        <f>IFERROR(IF(AND(H58&lt;&gt;"",I58&lt;&gt;""),ROUND(MAX(0,(I58-H58)*24-IF((I58-H58)*24&gt;=6,1,0)),2),IF(E58="△",4,0)),0)</f>
        <v/>
      </c>
    </row>
    <row r="59" ht="19.5" customHeight="1">
      <c r="A59" s="70" t="n">
        <v>46130</v>
      </c>
      <c r="B59" s="15" t="inlineStr">
        <is>
          <t>EMP007</t>
        </is>
      </c>
      <c r="C59" s="16" t="inlineStr">
        <is>
          <t>中原宏</t>
        </is>
      </c>
      <c r="D59" s="15" t="n"/>
      <c r="E59" s="15" t="inlineStr">
        <is>
          <t>○</t>
        </is>
      </c>
      <c r="F59" s="15" t="inlineStr">
        <is>
          <t>C</t>
        </is>
      </c>
      <c r="G59" s="16" t="inlineStr">
        <is>
          <t>四山海岸高潮対策工事</t>
        </is>
      </c>
      <c r="H59" s="71" t="n">
        <v>0.3291666666666667</v>
      </c>
      <c r="I59" s="71" t="n">
        <v>0.71875</v>
      </c>
      <c r="J59" s="15" t="n">
        <v>0.33</v>
      </c>
      <c r="K59" s="15" t="n">
        <v>0</v>
      </c>
      <c r="L59" s="15" t="n"/>
      <c r="M59" s="111">
        <f>IFERROR(IF(AND(H59&lt;&gt;"",I59&lt;&gt;""),ROUND(MAX(0,(I59-H59)*24-IF((I59-H59)*24&gt;=6,1,0)),2),IF(E59="△",4,0)),0)</f>
        <v/>
      </c>
    </row>
    <row r="60" ht="19.5" customHeight="1">
      <c r="A60" s="68" t="n">
        <v>46130</v>
      </c>
      <c r="B60" s="13" t="inlineStr">
        <is>
          <t>EMP003</t>
        </is>
      </c>
      <c r="C60" s="14" t="inlineStr">
        <is>
          <t>有田忍</t>
        </is>
      </c>
      <c r="D60" s="13" t="n"/>
      <c r="E60" s="13" t="inlineStr">
        <is>
          <t>○</t>
        </is>
      </c>
      <c r="F60" s="13" t="inlineStr">
        <is>
          <t>B</t>
        </is>
      </c>
      <c r="G60" s="14" t="inlineStr">
        <is>
          <t>健老町道路排水施設工事</t>
        </is>
      </c>
      <c r="H60" s="69" t="n">
        <v>0.3305555555555555</v>
      </c>
      <c r="I60" s="69" t="n">
        <v>0.7166666666666667</v>
      </c>
      <c r="J60" s="13" t="n">
        <v>0.27</v>
      </c>
      <c r="K60" s="13" t="n">
        <v>0</v>
      </c>
      <c r="L60" s="13" t="n"/>
      <c r="M60" s="111">
        <f>IFERROR(IF(AND(H60&lt;&gt;"",I60&lt;&gt;""),ROUND(MAX(0,(I60-H60)*24-IF((I60-H60)*24&gt;=6,1,0)),2),IF(E60="△",4,0)),0)</f>
        <v/>
      </c>
    </row>
    <row r="61" ht="19.5" customHeight="1">
      <c r="A61" s="70" t="n">
        <v>46130</v>
      </c>
      <c r="B61" s="15" t="inlineStr">
        <is>
          <t>EMP009</t>
        </is>
      </c>
      <c r="C61" s="16" t="inlineStr">
        <is>
          <t>ヨザ</t>
        </is>
      </c>
      <c r="D61" s="15" t="n"/>
      <c r="E61" s="15" t="inlineStr">
        <is>
          <t>○</t>
        </is>
      </c>
      <c r="F61" s="15" t="inlineStr">
        <is>
          <t>B</t>
        </is>
      </c>
      <c r="G61" s="16" t="inlineStr">
        <is>
          <t>健老町道路排水施設工事</t>
        </is>
      </c>
      <c r="H61" s="71" t="n">
        <v>0.3083333333333333</v>
      </c>
      <c r="I61" s="71" t="n">
        <v>0.7138888888888889</v>
      </c>
      <c r="J61" s="15" t="n">
        <v>0.72</v>
      </c>
      <c r="K61" s="15" t="n">
        <v>0</v>
      </c>
      <c r="L61" s="15" t="n"/>
      <c r="M61" s="111">
        <f>IFERROR(IF(AND(H61&lt;&gt;"",I61&lt;&gt;""),ROUND(MAX(0,(I61-H61)*24-IF((I61-H61)*24&gt;=6,1,0)),2),IF(E61="△",4,0)),0)</f>
        <v/>
      </c>
    </row>
    <row r="62" ht="19.5" customHeight="1">
      <c r="A62" s="68" t="n">
        <v>46130</v>
      </c>
      <c r="B62" s="13" t="inlineStr">
        <is>
          <t>EMP008</t>
        </is>
      </c>
      <c r="C62" s="14" t="inlineStr">
        <is>
          <t>アルフィ</t>
        </is>
      </c>
      <c r="D62" s="13" t="n"/>
      <c r="E62" s="13" t="inlineStr">
        <is>
          <t>○</t>
        </is>
      </c>
      <c r="F62" s="13" t="inlineStr">
        <is>
          <t>C</t>
        </is>
      </c>
      <c r="G62" s="14" t="inlineStr">
        <is>
          <t>四山海岸高潮対策工事</t>
        </is>
      </c>
      <c r="H62" s="69" t="n">
        <v>0.3118055555555556</v>
      </c>
      <c r="I62" s="69" t="n">
        <v>0.7173611111111111</v>
      </c>
      <c r="J62" s="13" t="n">
        <v>0.73</v>
      </c>
      <c r="K62" s="13" t="n">
        <v>0</v>
      </c>
      <c r="L62" s="13" t="n"/>
      <c r="M62" s="111">
        <f>IFERROR(IF(AND(H62&lt;&gt;"",I62&lt;&gt;""),ROUND(MAX(0,(I62-H62)*24-IF((I62-H62)*24&gt;=6,1,0)),2),IF(E62="△",4,0)),0)</f>
        <v/>
      </c>
    </row>
    <row r="63" ht="19.5" customHeight="1">
      <c r="A63" s="70" t="n">
        <v>46130</v>
      </c>
      <c r="B63" s="15" t="inlineStr">
        <is>
          <t>EMP010</t>
        </is>
      </c>
      <c r="C63" s="16" t="inlineStr">
        <is>
          <t>リズキ</t>
        </is>
      </c>
      <c r="D63" s="15" t="n"/>
      <c r="E63" s="15" t="inlineStr">
        <is>
          <t>○</t>
        </is>
      </c>
      <c r="F63" s="15" t="inlineStr">
        <is>
          <t>B</t>
        </is>
      </c>
      <c r="G63" s="16" t="inlineStr">
        <is>
          <t>健老町道路排水施設工事</t>
        </is>
      </c>
      <c r="H63" s="71" t="n">
        <v>0.3111111111111111</v>
      </c>
      <c r="I63" s="71" t="n">
        <v>0.7284722222222222</v>
      </c>
      <c r="J63" s="15" t="n">
        <v>1.02</v>
      </c>
      <c r="K63" s="15" t="n">
        <v>0</v>
      </c>
      <c r="L63" s="15" t="n"/>
      <c r="M63" s="111">
        <f>IFERROR(IF(AND(H63&lt;&gt;"",I63&lt;&gt;""),ROUND(MAX(0,(I63-H63)*24-IF((I63-H63)*24&gt;=6,1,0)),2),IF(E63="△",4,0)),0)</f>
        <v/>
      </c>
    </row>
    <row r="64" ht="19.5" customHeight="1">
      <c r="A64" s="68" t="n">
        <v>46130</v>
      </c>
      <c r="B64" s="13" t="inlineStr">
        <is>
          <t>EMP011</t>
        </is>
      </c>
      <c r="C64" s="14" t="inlineStr">
        <is>
          <t>ディマス</t>
        </is>
      </c>
      <c r="D64" s="13" t="n"/>
      <c r="E64" s="13" t="inlineStr">
        <is>
          <t>○</t>
        </is>
      </c>
      <c r="F64" s="13" t="inlineStr">
        <is>
          <t>B</t>
        </is>
      </c>
      <c r="G64" s="14" t="inlineStr">
        <is>
          <t>健老町道路排水施設工事</t>
        </is>
      </c>
      <c r="H64" s="69" t="n">
        <v>0.3118055555555556</v>
      </c>
      <c r="I64" s="69" t="n">
        <v>0.7138888888888889</v>
      </c>
      <c r="J64" s="13" t="n">
        <v>0.65</v>
      </c>
      <c r="K64" s="13" t="n">
        <v>0</v>
      </c>
      <c r="L64" s="13" t="n"/>
      <c r="M64" s="111">
        <f>IFERROR(IF(AND(H64&lt;&gt;"",I64&lt;&gt;""),ROUND(MAX(0,(I64-H64)*24-IF((I64-H64)*24&gt;=6,1,0)),2),IF(E64="△",4,0)),0)</f>
        <v/>
      </c>
    </row>
    <row r="65" ht="19.5" customHeight="1">
      <c r="A65" s="70" t="n">
        <v>46132</v>
      </c>
      <c r="B65" s="15" t="inlineStr">
        <is>
          <t>EMP012</t>
        </is>
      </c>
      <c r="C65" s="16" t="inlineStr">
        <is>
          <t>山田ゆかり</t>
        </is>
      </c>
      <c r="D65" s="15" t="n"/>
      <c r="E65" s="15" t="inlineStr">
        <is>
          <t>○</t>
        </is>
      </c>
      <c r="F65" s="15" t="inlineStr">
        <is>
          <t>A</t>
        </is>
      </c>
      <c r="G65" s="16" t="inlineStr">
        <is>
          <t>会社</t>
        </is>
      </c>
      <c r="H65" s="71" t="n">
        <v>0.3666666666666666</v>
      </c>
      <c r="I65" s="71" t="n">
        <v>0.7090277777777778</v>
      </c>
      <c r="J65" s="15" t="n">
        <v>0</v>
      </c>
      <c r="K65" s="15" t="n">
        <v>0</v>
      </c>
      <c r="L65" s="15" t="n"/>
      <c r="M65" s="111">
        <f>IFERROR(IF(AND(H65&lt;&gt;"",I65&lt;&gt;""),ROUND(MAX(0,(I65-H65)*24-IF((I65-H65)*24&gt;=6,1,0)),2),IF(E65="△",4,0)),0)</f>
        <v/>
      </c>
    </row>
    <row r="66" ht="19.5" customHeight="1">
      <c r="A66" s="68" t="n">
        <v>46132</v>
      </c>
      <c r="B66" s="13" t="inlineStr">
        <is>
          <t>EMP016</t>
        </is>
      </c>
      <c r="C66" s="14" t="inlineStr">
        <is>
          <t>畑野浩次</t>
        </is>
      </c>
      <c r="D66" s="13" t="n"/>
      <c r="E66" s="13" t="inlineStr">
        <is>
          <t>○</t>
        </is>
      </c>
      <c r="F66" s="13" t="inlineStr">
        <is>
          <t>A</t>
        </is>
      </c>
      <c r="G66" s="14" t="inlineStr">
        <is>
          <t>会社</t>
        </is>
      </c>
      <c r="H66" s="69" t="n">
        <v>0.3638888888888889</v>
      </c>
      <c r="I66" s="69" t="n">
        <v>0.7125</v>
      </c>
      <c r="J66" s="13" t="n">
        <v>0</v>
      </c>
      <c r="K66" s="13" t="n">
        <v>0</v>
      </c>
      <c r="L66" s="13" t="n"/>
      <c r="M66" s="111">
        <f>IFERROR(IF(AND(H66&lt;&gt;"",I66&lt;&gt;""),ROUND(MAX(0,(I66-H66)*24-IF((I66-H66)*24&gt;=6,1,0)),2),IF(E66="△",4,0)),0)</f>
        <v/>
      </c>
    </row>
    <row r="67" ht="19.5" customHeight="1">
      <c r="A67" s="70" t="n">
        <v>46132</v>
      </c>
      <c r="B67" s="15" t="inlineStr">
        <is>
          <t>EMP013</t>
        </is>
      </c>
      <c r="C67" s="16" t="inlineStr">
        <is>
          <t>菊川裕美</t>
        </is>
      </c>
      <c r="D67" s="15" t="n"/>
      <c r="E67" s="15" t="inlineStr">
        <is>
          <t>○</t>
        </is>
      </c>
      <c r="F67" s="15" t="inlineStr">
        <is>
          <t>A</t>
        </is>
      </c>
      <c r="G67" s="16" t="inlineStr">
        <is>
          <t>会社</t>
        </is>
      </c>
      <c r="H67" s="71" t="n">
        <v>0.3625</v>
      </c>
      <c r="I67" s="71" t="n">
        <v>0.6298611111111111</v>
      </c>
      <c r="J67" s="15" t="n">
        <v>0</v>
      </c>
      <c r="K67" s="15" t="n">
        <v>0</v>
      </c>
      <c r="L67" s="15" t="n"/>
      <c r="M67" s="111">
        <f>IFERROR(IF(AND(H67&lt;&gt;"",I67&lt;&gt;""),ROUND(MAX(0,(I67-H67)*24-IF((I67-H67)*24&gt;=6,1,0)),2),IF(E67="△",4,0)),0)</f>
        <v/>
      </c>
    </row>
    <row r="68" ht="19.5" customHeight="1">
      <c r="A68" s="68" t="n">
        <v>46132</v>
      </c>
      <c r="B68" s="13" t="inlineStr">
        <is>
          <t>EMP017</t>
        </is>
      </c>
      <c r="C68" s="14" t="inlineStr">
        <is>
          <t>濱津紀子</t>
        </is>
      </c>
      <c r="D68" s="13" t="n"/>
      <c r="E68" s="13" t="inlineStr">
        <is>
          <t>○</t>
        </is>
      </c>
      <c r="F68" s="13" t="inlineStr">
        <is>
          <t>A</t>
        </is>
      </c>
      <c r="G68" s="14" t="inlineStr">
        <is>
          <t>会社</t>
        </is>
      </c>
      <c r="H68" s="69" t="n">
        <v>0.3729166666666667</v>
      </c>
      <c r="I68" s="69" t="n">
        <v>0.6263888888888889</v>
      </c>
      <c r="J68" s="13" t="n">
        <v>0</v>
      </c>
      <c r="K68" s="13" t="n">
        <v>0</v>
      </c>
      <c r="L68" s="13" t="n"/>
      <c r="M68" s="111">
        <f>IFERROR(IF(AND(H68&lt;&gt;"",I68&lt;&gt;""),ROUND(MAX(0,(I68-H68)*24-IF((I68-H68)*24&gt;=6,1,0)),2),IF(E68="△",4,0)),0)</f>
        <v/>
      </c>
    </row>
    <row r="69" ht="19.5" customHeight="1">
      <c r="A69" s="70" t="n">
        <v>46132</v>
      </c>
      <c r="B69" s="15" t="inlineStr">
        <is>
          <t>EMP002</t>
        </is>
      </c>
      <c r="C69" s="16" t="inlineStr">
        <is>
          <t>中原義範</t>
        </is>
      </c>
      <c r="D69" s="15" t="n"/>
      <c r="E69" s="15" t="inlineStr">
        <is>
          <t>○</t>
        </is>
      </c>
      <c r="F69" s="15" t="inlineStr">
        <is>
          <t>D</t>
        </is>
      </c>
      <c r="G69" s="16" t="inlineStr">
        <is>
          <t>その他</t>
        </is>
      </c>
      <c r="H69" s="71" t="n">
        <v>0.3333333333333333</v>
      </c>
      <c r="I69" s="71" t="n">
        <v>0.7222222222222222</v>
      </c>
      <c r="J69" s="15" t="n">
        <v>0.33</v>
      </c>
      <c r="K69" s="15" t="n">
        <v>0</v>
      </c>
      <c r="L69" s="15" t="n"/>
      <c r="M69" s="111">
        <f>IFERROR(IF(AND(H69&lt;&gt;"",I69&lt;&gt;""),ROUND(MAX(0,(I69-H69)*24-IF((I69-H69)*24&gt;=6,1,0)),2),IF(E69="△",4,0)),0)</f>
        <v/>
      </c>
    </row>
    <row r="70" ht="19.5" customHeight="1">
      <c r="A70" s="68" t="n">
        <v>46132</v>
      </c>
      <c r="B70" s="13" t="inlineStr">
        <is>
          <t>EMP004</t>
        </is>
      </c>
      <c r="C70" s="14" t="inlineStr">
        <is>
          <t>中原裟也茄</t>
        </is>
      </c>
      <c r="D70" s="13" t="n"/>
      <c r="E70" s="13" t="inlineStr">
        <is>
          <t>○</t>
        </is>
      </c>
      <c r="F70" s="13" t="inlineStr">
        <is>
          <t>A</t>
        </is>
      </c>
      <c r="G70" s="14" t="inlineStr">
        <is>
          <t>会社</t>
        </is>
      </c>
      <c r="H70" s="69" t="n">
        <v>0.3340277777777778</v>
      </c>
      <c r="I70" s="69" t="n">
        <v>0.7291666666666666</v>
      </c>
      <c r="J70" s="13" t="n">
        <v>0.47</v>
      </c>
      <c r="K70" s="13" t="n">
        <v>0</v>
      </c>
      <c r="L70" s="13" t="n"/>
      <c r="M70" s="111">
        <f>IFERROR(IF(AND(H70&lt;&gt;"",I70&lt;&gt;""),ROUND(MAX(0,(I70-H70)*24-IF((I70-H70)*24&gt;=6,1,0)),2),IF(E70="△",4,0)),0)</f>
        <v/>
      </c>
    </row>
    <row r="71" ht="19.5" customHeight="1">
      <c r="A71" s="70" t="n">
        <v>46132</v>
      </c>
      <c r="B71" s="15" t="inlineStr">
        <is>
          <t>EMP007</t>
        </is>
      </c>
      <c r="C71" s="16" t="inlineStr">
        <is>
          <t>中原宏</t>
        </is>
      </c>
      <c r="D71" s="15" t="n"/>
      <c r="E71" s="15" t="inlineStr">
        <is>
          <t>○</t>
        </is>
      </c>
      <c r="F71" s="15" t="inlineStr">
        <is>
          <t>D</t>
        </is>
      </c>
      <c r="G71" s="16" t="inlineStr">
        <is>
          <t>その他</t>
        </is>
      </c>
      <c r="H71" s="71" t="n">
        <v>0.3333333333333333</v>
      </c>
      <c r="I71" s="71" t="n">
        <v>0.7083333333333334</v>
      </c>
      <c r="J71" s="15" t="n">
        <v>0</v>
      </c>
      <c r="K71" s="15" t="n">
        <v>0</v>
      </c>
      <c r="L71" s="15" t="n"/>
      <c r="M71" s="111">
        <f>IFERROR(IF(AND(H71&lt;&gt;"",I71&lt;&gt;""),ROUND(MAX(0,(I71-H71)*24-IF((I71-H71)*24&gt;=6,1,0)),2),IF(E71="△",4,0)),0)</f>
        <v/>
      </c>
    </row>
    <row r="72" ht="19.5" customHeight="1">
      <c r="A72" s="68" t="n">
        <v>46132</v>
      </c>
      <c r="B72" s="13" t="inlineStr">
        <is>
          <t>EMP003</t>
        </is>
      </c>
      <c r="C72" s="14" t="inlineStr">
        <is>
          <t>有田忍</t>
        </is>
      </c>
      <c r="D72" s="13" t="n"/>
      <c r="E72" s="13" t="inlineStr">
        <is>
          <t>○</t>
        </is>
      </c>
      <c r="F72" s="13" t="inlineStr">
        <is>
          <t>B</t>
        </is>
      </c>
      <c r="G72" s="14" t="inlineStr">
        <is>
          <t>健老町道路排水施設工事</t>
        </is>
      </c>
      <c r="H72" s="69" t="n">
        <v>0.3138888888888889</v>
      </c>
      <c r="I72" s="69" t="n">
        <v>0.75625</v>
      </c>
      <c r="J72" s="13" t="n">
        <v>1.6</v>
      </c>
      <c r="K72" s="13" t="n">
        <v>0</v>
      </c>
      <c r="L72" s="13" t="n"/>
      <c r="M72" s="111">
        <f>IFERROR(IF(AND(H72&lt;&gt;"",I72&lt;&gt;""),ROUND(MAX(0,(I72-H72)*24-IF((I72-H72)*24&gt;=6,1,0)),2),IF(E72="△",4,0)),0)</f>
        <v/>
      </c>
    </row>
    <row r="73" ht="19.5" customHeight="1">
      <c r="A73" s="70" t="n">
        <v>46132</v>
      </c>
      <c r="B73" s="15" t="inlineStr">
        <is>
          <t>EMP009</t>
        </is>
      </c>
      <c r="C73" s="16" t="inlineStr">
        <is>
          <t>ヨザ</t>
        </is>
      </c>
      <c r="D73" s="15" t="n"/>
      <c r="E73" s="15" t="inlineStr">
        <is>
          <t>○</t>
        </is>
      </c>
      <c r="F73" s="15" t="inlineStr">
        <is>
          <t>D</t>
        </is>
      </c>
      <c r="G73" s="16" t="inlineStr">
        <is>
          <t>その他</t>
        </is>
      </c>
      <c r="H73" s="71" t="n">
        <v>0.3069444444444445</v>
      </c>
      <c r="I73" s="71" t="n">
        <v>0.7229166666666667</v>
      </c>
      <c r="J73" s="15" t="n">
        <v>0.98</v>
      </c>
      <c r="K73" s="15" t="n">
        <v>0</v>
      </c>
      <c r="L73" s="15" t="n"/>
      <c r="M73" s="111">
        <f>IFERROR(IF(AND(H73&lt;&gt;"",I73&lt;&gt;""),ROUND(MAX(0,(I73-H73)*24-IF((I73-H73)*24&gt;=6,1,0)),2),IF(E73="△",4,0)),0)</f>
        <v/>
      </c>
    </row>
    <row r="74" ht="19.5" customHeight="1">
      <c r="A74" s="68" t="n">
        <v>46132</v>
      </c>
      <c r="B74" s="13" t="inlineStr">
        <is>
          <t>EMP008</t>
        </is>
      </c>
      <c r="C74" s="14" t="inlineStr">
        <is>
          <t>アルフィ</t>
        </is>
      </c>
      <c r="D74" s="13" t="n"/>
      <c r="E74" s="13" t="inlineStr">
        <is>
          <t>○</t>
        </is>
      </c>
      <c r="F74" s="13" t="inlineStr">
        <is>
          <t>B</t>
        </is>
      </c>
      <c r="G74" s="14" t="inlineStr">
        <is>
          <t>健老町道路排水施設工事</t>
        </is>
      </c>
      <c r="H74" s="69" t="n">
        <v>0.3069444444444445</v>
      </c>
      <c r="I74" s="69" t="n">
        <v>0.7243055555555555</v>
      </c>
      <c r="J74" s="13" t="n">
        <v>1</v>
      </c>
      <c r="K74" s="13" t="n">
        <v>0</v>
      </c>
      <c r="L74" s="13" t="n"/>
      <c r="M74" s="111">
        <f>IFERROR(IF(AND(H74&lt;&gt;"",I74&lt;&gt;""),ROUND(MAX(0,(I74-H74)*24-IF((I74-H74)*24&gt;=6,1,0)),2),IF(E74="△",4,0)),0)</f>
        <v/>
      </c>
    </row>
    <row r="75" ht="19.5" customHeight="1">
      <c r="A75" s="70" t="n">
        <v>46132</v>
      </c>
      <c r="B75" s="15" t="inlineStr">
        <is>
          <t>EMP010</t>
        </is>
      </c>
      <c r="C75" s="16" t="inlineStr">
        <is>
          <t>リズキ</t>
        </is>
      </c>
      <c r="D75" s="15" t="n"/>
      <c r="E75" s="15" t="inlineStr">
        <is>
          <t>○</t>
        </is>
      </c>
      <c r="F75" s="15" t="inlineStr">
        <is>
          <t>A</t>
        </is>
      </c>
      <c r="G75" s="16" t="inlineStr">
        <is>
          <t>会社</t>
        </is>
      </c>
      <c r="H75" s="71" t="n">
        <v>0.3069444444444445</v>
      </c>
      <c r="I75" s="71" t="n">
        <v>0.7291666666666666</v>
      </c>
      <c r="J75" s="15" t="n">
        <v>1.12</v>
      </c>
      <c r="K75" s="15" t="n">
        <v>0</v>
      </c>
      <c r="L75" s="15" t="n"/>
      <c r="M75" s="111">
        <f>IFERROR(IF(AND(H75&lt;&gt;"",I75&lt;&gt;""),ROUND(MAX(0,(I75-H75)*24-IF((I75-H75)*24&gt;=6,1,0)),2),IF(E75="△",4,0)),0)</f>
        <v/>
      </c>
    </row>
    <row r="76" ht="19.5" customHeight="1">
      <c r="A76" s="68" t="n">
        <v>46132</v>
      </c>
      <c r="B76" s="13" t="inlineStr">
        <is>
          <t>EMP011</t>
        </is>
      </c>
      <c r="C76" s="14" t="inlineStr">
        <is>
          <t>ディマス</t>
        </is>
      </c>
      <c r="D76" s="13" t="n"/>
      <c r="E76" s="13" t="inlineStr">
        <is>
          <t>○</t>
        </is>
      </c>
      <c r="F76" s="13" t="inlineStr">
        <is>
          <t>B</t>
        </is>
      </c>
      <c r="G76" s="14" t="inlineStr">
        <is>
          <t>健老町道路排水施設工事</t>
        </is>
      </c>
      <c r="H76" s="69" t="n">
        <v>0.3076388888888889</v>
      </c>
      <c r="I76" s="69" t="n">
        <v>0.725</v>
      </c>
      <c r="J76" s="13" t="n">
        <v>1.02</v>
      </c>
      <c r="K76" s="13" t="n">
        <v>0</v>
      </c>
      <c r="L76" s="13" t="n"/>
      <c r="M76" s="111">
        <f>IFERROR(IF(AND(H76&lt;&gt;"",I76&lt;&gt;""),ROUND(MAX(0,(I76-H76)*24-IF((I76-H76)*24&gt;=6,1,0)),2),IF(E76="△",4,0)),0)</f>
        <v/>
      </c>
    </row>
    <row r="77" ht="19.5" customHeight="1">
      <c r="A77" s="70" t="n">
        <v>46133</v>
      </c>
      <c r="B77" s="15" t="inlineStr">
        <is>
          <t>EMP012</t>
        </is>
      </c>
      <c r="C77" s="16" t="inlineStr">
        <is>
          <t>山田ゆかり</t>
        </is>
      </c>
      <c r="D77" s="15" t="n"/>
      <c r="E77" s="15" t="inlineStr">
        <is>
          <t>○</t>
        </is>
      </c>
      <c r="F77" s="15" t="inlineStr">
        <is>
          <t>A</t>
        </is>
      </c>
      <c r="G77" s="16" t="inlineStr">
        <is>
          <t>会社</t>
        </is>
      </c>
      <c r="H77" s="71" t="n">
        <v>0.3652777777777778</v>
      </c>
      <c r="I77" s="71" t="n">
        <v>0.7173611111111111</v>
      </c>
      <c r="J77" s="15" t="n">
        <v>0</v>
      </c>
      <c r="K77" s="15" t="n">
        <v>0</v>
      </c>
      <c r="L77" s="15" t="n"/>
      <c r="M77" s="111">
        <f>IFERROR(IF(AND(H77&lt;&gt;"",I77&lt;&gt;""),ROUND(MAX(0,(I77-H77)*24-IF((I77-H77)*24&gt;=6,1,0)),2),IF(E77="△",4,0)),0)</f>
        <v/>
      </c>
    </row>
    <row r="78" ht="19.5" customHeight="1">
      <c r="A78" s="68" t="n">
        <v>46133</v>
      </c>
      <c r="B78" s="13" t="inlineStr">
        <is>
          <t>EMP013</t>
        </is>
      </c>
      <c r="C78" s="14" t="inlineStr">
        <is>
          <t>菊川裕美</t>
        </is>
      </c>
      <c r="D78" s="13" t="n"/>
      <c r="E78" s="13" t="inlineStr">
        <is>
          <t>○</t>
        </is>
      </c>
      <c r="F78" s="13" t="inlineStr">
        <is>
          <t>A</t>
        </is>
      </c>
      <c r="G78" s="14" t="inlineStr">
        <is>
          <t>会社</t>
        </is>
      </c>
      <c r="H78" s="69" t="n">
        <v>0.3645833333333333</v>
      </c>
      <c r="I78" s="69" t="n">
        <v>0.6284722222222222</v>
      </c>
      <c r="J78" s="13" t="n">
        <v>0</v>
      </c>
      <c r="K78" s="13" t="n">
        <v>0</v>
      </c>
      <c r="L78" s="13" t="n"/>
      <c r="M78" s="111">
        <f>IFERROR(IF(AND(H78&lt;&gt;"",I78&lt;&gt;""),ROUND(MAX(0,(I78-H78)*24-IF((I78-H78)*24&gt;=6,1,0)),2),IF(E78="△",4,0)),0)</f>
        <v/>
      </c>
    </row>
    <row r="79" ht="19.5" customHeight="1">
      <c r="A79" s="70" t="n">
        <v>46133</v>
      </c>
      <c r="B79" s="15" t="inlineStr">
        <is>
          <t>EMP017</t>
        </is>
      </c>
      <c r="C79" s="16" t="inlineStr">
        <is>
          <t>濱津紀子</t>
        </is>
      </c>
      <c r="D79" s="15" t="n"/>
      <c r="E79" s="15" t="inlineStr">
        <is>
          <t>○</t>
        </is>
      </c>
      <c r="F79" s="15" t="inlineStr">
        <is>
          <t>A</t>
        </is>
      </c>
      <c r="G79" s="16" t="inlineStr">
        <is>
          <t>会社</t>
        </is>
      </c>
      <c r="H79" s="71" t="n">
        <v>0.3743055555555556</v>
      </c>
      <c r="I79" s="71" t="n">
        <v>0.6263888888888889</v>
      </c>
      <c r="J79" s="15" t="n">
        <v>0</v>
      </c>
      <c r="K79" s="15" t="n">
        <v>0</v>
      </c>
      <c r="L79" s="15" t="n"/>
      <c r="M79" s="111">
        <f>IFERROR(IF(AND(H79&lt;&gt;"",I79&lt;&gt;""),ROUND(MAX(0,(I79-H79)*24-IF((I79-H79)*24&gt;=6,1,0)),2),IF(E79="△",4,0)),0)</f>
        <v/>
      </c>
    </row>
    <row r="80" ht="19.5" customHeight="1">
      <c r="A80" s="68" t="n">
        <v>46133</v>
      </c>
      <c r="B80" s="13" t="n"/>
      <c r="C80" s="14" t="inlineStr">
        <is>
          <t>河津 信貴</t>
        </is>
      </c>
      <c r="D80" s="13" t="n"/>
      <c r="E80" s="13" t="inlineStr">
        <is>
          <t>○</t>
        </is>
      </c>
      <c r="F80" s="13" t="inlineStr">
        <is>
          <t>B</t>
        </is>
      </c>
      <c r="G80" s="14" t="inlineStr">
        <is>
          <t>健老町道路排水施設工事</t>
        </is>
      </c>
      <c r="H80" s="69" t="n">
        <v>0.31875</v>
      </c>
      <c r="I80" s="69" t="n">
        <v>0.7152777777777778</v>
      </c>
      <c r="J80" s="13" t="n">
        <v>0.5</v>
      </c>
      <c r="K80" s="13" t="n">
        <v>0</v>
      </c>
      <c r="L80" s="13" t="n"/>
      <c r="M80" s="111">
        <f>IFERROR(IF(AND(H80&lt;&gt;"",I80&lt;&gt;""),ROUND(MAX(0,(I80-H80)*24-IF((I80-H80)*24&gt;=6,1,0)),2),IF(E80="△",4,0)),0)</f>
        <v/>
      </c>
    </row>
    <row r="81" ht="19.5" customHeight="1">
      <c r="A81" s="70" t="n">
        <v>46133</v>
      </c>
      <c r="B81" s="15" t="n"/>
      <c r="C81" s="16" t="inlineStr">
        <is>
          <t>宮川正利</t>
        </is>
      </c>
      <c r="D81" s="15" t="n"/>
      <c r="E81" s="15" t="inlineStr">
        <is>
          <t>○</t>
        </is>
      </c>
      <c r="F81" s="15" t="inlineStr">
        <is>
          <t>B</t>
        </is>
      </c>
      <c r="G81" s="16" t="inlineStr">
        <is>
          <t>健老町道路排水施設工事</t>
        </is>
      </c>
      <c r="H81" s="71" t="n">
        <v>0.3201388888888889</v>
      </c>
      <c r="I81" s="71" t="n">
        <v>0.7159722222222222</v>
      </c>
      <c r="J81" s="15" t="n">
        <v>0.48</v>
      </c>
      <c r="K81" s="15" t="n">
        <v>0</v>
      </c>
      <c r="L81" s="15" t="n"/>
      <c r="M81" s="111">
        <f>IFERROR(IF(AND(H81&lt;&gt;"",I81&lt;&gt;""),ROUND(MAX(0,(I81-H81)*24-IF((I81-H81)*24&gt;=6,1,0)),2),IF(E81="△",4,0)),0)</f>
        <v/>
      </c>
    </row>
    <row r="82" ht="19.5" customHeight="1">
      <c r="A82" s="68" t="n">
        <v>46133</v>
      </c>
      <c r="B82" s="13" t="inlineStr">
        <is>
          <t>EMP002</t>
        </is>
      </c>
      <c r="C82" s="14" t="inlineStr">
        <is>
          <t>中原義範</t>
        </is>
      </c>
      <c r="D82" s="13" t="n"/>
      <c r="E82" s="13" t="inlineStr">
        <is>
          <t>○</t>
        </is>
      </c>
      <c r="F82" s="13" t="inlineStr">
        <is>
          <t>A</t>
        </is>
      </c>
      <c r="G82" s="14" t="inlineStr">
        <is>
          <t>会社</t>
        </is>
      </c>
      <c r="H82" s="69" t="n">
        <v>0.3333333333333333</v>
      </c>
      <c r="I82" s="69" t="n">
        <v>0.7083333333333334</v>
      </c>
      <c r="J82" s="13" t="n">
        <v>0</v>
      </c>
      <c r="K82" s="13" t="n">
        <v>0</v>
      </c>
      <c r="L82" s="13" t="n"/>
      <c r="M82" s="111">
        <f>IFERROR(IF(AND(H82&lt;&gt;"",I82&lt;&gt;""),ROUND(MAX(0,(I82-H82)*24-IF((I82-H82)*24&gt;=6,1,0)),2),IF(E82="△",4,0)),0)</f>
        <v/>
      </c>
    </row>
    <row r="83" ht="19.5" customHeight="1">
      <c r="A83" s="70" t="n">
        <v>46133</v>
      </c>
      <c r="B83" s="15" t="inlineStr">
        <is>
          <t>EMP004</t>
        </is>
      </c>
      <c r="C83" s="16" t="inlineStr">
        <is>
          <t>中原裟也茄</t>
        </is>
      </c>
      <c r="D83" s="15" t="n"/>
      <c r="E83" s="15" t="inlineStr">
        <is>
          <t>○</t>
        </is>
      </c>
      <c r="F83" s="15" t="inlineStr">
        <is>
          <t>A</t>
        </is>
      </c>
      <c r="G83" s="16" t="inlineStr">
        <is>
          <t>会社</t>
        </is>
      </c>
      <c r="H83" s="71" t="n">
        <v>0.3395833333333333</v>
      </c>
      <c r="I83" s="71" t="n">
        <v>0.8708333333333333</v>
      </c>
      <c r="J83" s="15" t="n">
        <v>3.75</v>
      </c>
      <c r="K83" s="15" t="n">
        <v>0</v>
      </c>
      <c r="L83" s="15" t="n"/>
      <c r="M83" s="111">
        <f>IFERROR(IF(AND(H83&lt;&gt;"",I83&lt;&gt;""),ROUND(MAX(0,(I83-H83)*24-IF((I83-H83)*24&gt;=6,1,0)),2),IF(E83="△",4,0)),0)</f>
        <v/>
      </c>
    </row>
    <row r="84" ht="19.5" customHeight="1">
      <c r="A84" s="68" t="n">
        <v>46133</v>
      </c>
      <c r="B84" s="13" t="inlineStr">
        <is>
          <t>EMP007</t>
        </is>
      </c>
      <c r="C84" s="14" t="inlineStr">
        <is>
          <t>中原宏</t>
        </is>
      </c>
      <c r="D84" s="13" t="n"/>
      <c r="E84" s="13" t="inlineStr">
        <is>
          <t>○</t>
        </is>
      </c>
      <c r="F84" s="13" t="inlineStr">
        <is>
          <t>C</t>
        </is>
      </c>
      <c r="G84" s="14" t="inlineStr">
        <is>
          <t>四山海岸高潮対策工事</t>
        </is>
      </c>
      <c r="H84" s="69" t="n">
        <v>0.3395833333333333</v>
      </c>
      <c r="I84" s="69" t="n">
        <v>0.71875</v>
      </c>
      <c r="J84" s="13" t="n">
        <v>0.1</v>
      </c>
      <c r="K84" s="13" t="n">
        <v>0</v>
      </c>
      <c r="L84" s="13" t="n"/>
      <c r="M84" s="111">
        <f>IFERROR(IF(AND(H84&lt;&gt;"",I84&lt;&gt;""),ROUND(MAX(0,(I84-H84)*24-IF((I84-H84)*24&gt;=6,1,0)),2),IF(E84="△",4,0)),0)</f>
        <v/>
      </c>
    </row>
    <row r="85" ht="19.5" customHeight="1">
      <c r="A85" s="70" t="n">
        <v>46133</v>
      </c>
      <c r="B85" s="15" t="inlineStr">
        <is>
          <t>EMP003</t>
        </is>
      </c>
      <c r="C85" s="16" t="inlineStr">
        <is>
          <t>有田忍</t>
        </is>
      </c>
      <c r="D85" s="15" t="n"/>
      <c r="E85" s="15" t="inlineStr">
        <is>
          <t>○</t>
        </is>
      </c>
      <c r="F85" s="15" t="inlineStr">
        <is>
          <t>B</t>
        </is>
      </c>
      <c r="G85" s="16" t="inlineStr">
        <is>
          <t>健老町道路排水施設工事</t>
        </is>
      </c>
      <c r="H85" s="71" t="n">
        <v>0.3125</v>
      </c>
      <c r="I85" s="71" t="n">
        <v>0.7548611111111111</v>
      </c>
      <c r="J85" s="15" t="n">
        <v>1.6</v>
      </c>
      <c r="K85" s="15" t="n">
        <v>0</v>
      </c>
      <c r="L85" s="15" t="n"/>
      <c r="M85" s="111">
        <f>IFERROR(IF(AND(H85&lt;&gt;"",I85&lt;&gt;""),ROUND(MAX(0,(I85-H85)*24-IF((I85-H85)*24&gt;=6,1,0)),2),IF(E85="△",4,0)),0)</f>
        <v/>
      </c>
    </row>
    <row r="86" ht="19.5" customHeight="1">
      <c r="A86" s="68" t="n">
        <v>46133</v>
      </c>
      <c r="B86" s="13" t="inlineStr">
        <is>
          <t>EMP009</t>
        </is>
      </c>
      <c r="C86" s="14" t="inlineStr">
        <is>
          <t>ヨザ</t>
        </is>
      </c>
      <c r="D86" s="13" t="n"/>
      <c r="E86" s="13" t="inlineStr">
        <is>
          <t>○</t>
        </is>
      </c>
      <c r="F86" s="13" t="inlineStr">
        <is>
          <t>B</t>
        </is>
      </c>
      <c r="G86" s="14" t="inlineStr">
        <is>
          <t>健老町道路排水施設工事</t>
        </is>
      </c>
      <c r="H86" s="69" t="n">
        <v>0.3083333333333333</v>
      </c>
      <c r="I86" s="69" t="n">
        <v>0.7145833333333333</v>
      </c>
      <c r="J86" s="13" t="n">
        <v>0.75</v>
      </c>
      <c r="K86" s="13" t="n">
        <v>0</v>
      </c>
      <c r="L86" s="13" t="n"/>
      <c r="M86" s="111">
        <f>IFERROR(IF(AND(H86&lt;&gt;"",I86&lt;&gt;""),ROUND(MAX(0,(I86-H86)*24-IF((I86-H86)*24&gt;=6,1,0)),2),IF(E86="△",4,0)),0)</f>
        <v/>
      </c>
    </row>
    <row r="87" ht="19.5" customHeight="1">
      <c r="A87" s="70" t="n">
        <v>46133</v>
      </c>
      <c r="B87" s="15" t="inlineStr">
        <is>
          <t>EMP008</t>
        </is>
      </c>
      <c r="C87" s="16" t="inlineStr">
        <is>
          <t>アルフィ</t>
        </is>
      </c>
      <c r="D87" s="15" t="n"/>
      <c r="E87" s="15" t="inlineStr">
        <is>
          <t>○</t>
        </is>
      </c>
      <c r="F87" s="15" t="inlineStr">
        <is>
          <t>B</t>
        </is>
      </c>
      <c r="G87" s="16" t="inlineStr">
        <is>
          <t>健老町道路排水施設工事</t>
        </is>
      </c>
      <c r="H87" s="71" t="n">
        <v>0.3097222222222222</v>
      </c>
      <c r="I87" s="71" t="n">
        <v>0.7166666666666667</v>
      </c>
      <c r="J87" s="15" t="n">
        <v>0.75</v>
      </c>
      <c r="K87" s="15" t="n">
        <v>0</v>
      </c>
      <c r="L87" s="15" t="n"/>
      <c r="M87" s="111">
        <f>IFERROR(IF(AND(H87&lt;&gt;"",I87&lt;&gt;""),ROUND(MAX(0,(I87-H87)*24-IF((I87-H87)*24&gt;=6,1,0)),2),IF(E87="△",4,0)),0)</f>
        <v/>
      </c>
    </row>
    <row r="88" ht="19.5" customHeight="1">
      <c r="A88" s="68" t="n">
        <v>46133</v>
      </c>
      <c r="B88" s="13" t="inlineStr">
        <is>
          <t>EMP010</t>
        </is>
      </c>
      <c r="C88" s="14" t="inlineStr">
        <is>
          <t>リズキ</t>
        </is>
      </c>
      <c r="D88" s="13" t="n"/>
      <c r="E88" s="13" t="inlineStr">
        <is>
          <t>○</t>
        </is>
      </c>
      <c r="F88" s="13" t="inlineStr">
        <is>
          <t>B</t>
        </is>
      </c>
      <c r="G88" s="14" t="inlineStr">
        <is>
          <t>健老町道路排水施設工事</t>
        </is>
      </c>
      <c r="H88" s="69" t="n">
        <v>0.3131944444444444</v>
      </c>
      <c r="I88" s="69" t="n">
        <v>0.7152777777777778</v>
      </c>
      <c r="J88" s="13" t="n">
        <v>0.65</v>
      </c>
      <c r="K88" s="13" t="n">
        <v>0</v>
      </c>
      <c r="L88" s="13" t="n"/>
      <c r="M88" s="111">
        <f>IFERROR(IF(AND(H88&lt;&gt;"",I88&lt;&gt;""),ROUND(MAX(0,(I88-H88)*24-IF((I88-H88)*24&gt;=6,1,0)),2),IF(E88="△",4,0)),0)</f>
        <v/>
      </c>
    </row>
    <row r="89" ht="19.5" customHeight="1">
      <c r="A89" s="70" t="n">
        <v>46133</v>
      </c>
      <c r="B89" s="15" t="inlineStr">
        <is>
          <t>EMP011</t>
        </is>
      </c>
      <c r="C89" s="16" t="inlineStr">
        <is>
          <t>ディマス</t>
        </is>
      </c>
      <c r="D89" s="15" t="n"/>
      <c r="E89" s="15" t="inlineStr">
        <is>
          <t>○</t>
        </is>
      </c>
      <c r="F89" s="15" t="inlineStr">
        <is>
          <t>B</t>
        </is>
      </c>
      <c r="G89" s="16" t="inlineStr">
        <is>
          <t>健老町道路排水施設工事</t>
        </is>
      </c>
      <c r="H89" s="71" t="n">
        <v>0.3097222222222222</v>
      </c>
      <c r="I89" s="71" t="n">
        <v>0.7152777777777778</v>
      </c>
      <c r="J89" s="15" t="n">
        <v>0.72</v>
      </c>
      <c r="K89" s="15" t="n">
        <v>0</v>
      </c>
      <c r="L89" s="15" t="n"/>
      <c r="M89" s="111">
        <f>IFERROR(IF(AND(H89&lt;&gt;"",I89&lt;&gt;""),ROUND(MAX(0,(I89-H89)*24-IF((I89-H89)*24&gt;=6,1,0)),2),IF(E89="△",4,0)),0)</f>
        <v/>
      </c>
    </row>
    <row r="90" ht="19.5" customHeight="1">
      <c r="A90" s="68" t="n">
        <v>46134</v>
      </c>
      <c r="B90" s="13" t="inlineStr">
        <is>
          <t>EMP012</t>
        </is>
      </c>
      <c r="C90" s="14" t="inlineStr">
        <is>
          <t>山田ゆかり</t>
        </is>
      </c>
      <c r="D90" s="13" t="n"/>
      <c r="E90" s="13" t="inlineStr">
        <is>
          <t>○</t>
        </is>
      </c>
      <c r="F90" s="13" t="inlineStr">
        <is>
          <t>A</t>
        </is>
      </c>
      <c r="G90" s="14" t="inlineStr">
        <is>
          <t>会社</t>
        </is>
      </c>
      <c r="H90" s="69" t="n">
        <v>0.3638888888888889</v>
      </c>
      <c r="I90" s="69" t="n">
        <v>0.7090277777777778</v>
      </c>
      <c r="J90" s="13" t="n">
        <v>0</v>
      </c>
      <c r="K90" s="13" t="n">
        <v>0</v>
      </c>
      <c r="L90" s="13" t="n"/>
      <c r="M90" s="111">
        <f>IFERROR(IF(AND(H90&lt;&gt;"",I90&lt;&gt;""),ROUND(MAX(0,(I90-H90)*24-IF((I90-H90)*24&gt;=6,1,0)),2),IF(E90="△",4,0)),0)</f>
        <v/>
      </c>
    </row>
    <row r="91" ht="19.5" customHeight="1">
      <c r="A91" s="70" t="n">
        <v>46134</v>
      </c>
      <c r="B91" s="15" t="inlineStr">
        <is>
          <t>EMP016</t>
        </is>
      </c>
      <c r="C91" s="16" t="inlineStr">
        <is>
          <t>畑野浩次</t>
        </is>
      </c>
      <c r="D91" s="15" t="n"/>
      <c r="E91" s="15" t="inlineStr">
        <is>
          <t>○</t>
        </is>
      </c>
      <c r="F91" s="15" t="inlineStr">
        <is>
          <t>A</t>
        </is>
      </c>
      <c r="G91" s="16" t="inlineStr">
        <is>
          <t>会社</t>
        </is>
      </c>
      <c r="H91" s="71" t="n">
        <v>0.3645833333333333</v>
      </c>
      <c r="I91" s="71" t="n">
        <v>0.7104166666666667</v>
      </c>
      <c r="J91" s="15" t="n">
        <v>0</v>
      </c>
      <c r="K91" s="15" t="n">
        <v>0</v>
      </c>
      <c r="L91" s="15" t="n"/>
      <c r="M91" s="111">
        <f>IFERROR(IF(AND(H91&lt;&gt;"",I91&lt;&gt;""),ROUND(MAX(0,(I91-H91)*24-IF((I91-H91)*24&gt;=6,1,0)),2),IF(E91="△",4,0)),0)</f>
        <v/>
      </c>
    </row>
    <row r="92" ht="19.5" customHeight="1">
      <c r="A92" s="68" t="n">
        <v>46134</v>
      </c>
      <c r="B92" s="13" t="inlineStr">
        <is>
          <t>EMP013</t>
        </is>
      </c>
      <c r="C92" s="14" t="inlineStr">
        <is>
          <t>菊川裕美</t>
        </is>
      </c>
      <c r="D92" s="13" t="n"/>
      <c r="E92" s="13" t="inlineStr">
        <is>
          <t>○</t>
        </is>
      </c>
      <c r="F92" s="13" t="inlineStr">
        <is>
          <t>A</t>
        </is>
      </c>
      <c r="G92" s="14" t="inlineStr">
        <is>
          <t>会社</t>
        </is>
      </c>
      <c r="H92" s="69" t="n">
        <v>0.3659722222222222</v>
      </c>
      <c r="I92" s="69" t="n">
        <v>0.6284722222222222</v>
      </c>
      <c r="J92" s="13" t="n">
        <v>0</v>
      </c>
      <c r="K92" s="13" t="n">
        <v>0</v>
      </c>
      <c r="L92" s="13" t="n"/>
      <c r="M92" s="111">
        <f>IFERROR(IF(AND(H92&lt;&gt;"",I92&lt;&gt;""),ROUND(MAX(0,(I92-H92)*24-IF((I92-H92)*24&gt;=6,1,0)),2),IF(E92="△",4,0)),0)</f>
        <v/>
      </c>
    </row>
    <row r="93" ht="19.5" customHeight="1">
      <c r="A93" s="70" t="n">
        <v>46134</v>
      </c>
      <c r="B93" s="15" t="inlineStr">
        <is>
          <t>EMP017</t>
        </is>
      </c>
      <c r="C93" s="16" t="inlineStr">
        <is>
          <t>濱津紀子</t>
        </is>
      </c>
      <c r="D93" s="15" t="n"/>
      <c r="E93" s="15" t="inlineStr">
        <is>
          <t>○</t>
        </is>
      </c>
      <c r="F93" s="15" t="inlineStr">
        <is>
          <t>A</t>
        </is>
      </c>
      <c r="G93" s="16" t="inlineStr">
        <is>
          <t>会社</t>
        </is>
      </c>
      <c r="H93" s="71" t="n">
        <v>0.3659722222222222</v>
      </c>
      <c r="I93" s="71" t="n">
        <v>0.6541666666666667</v>
      </c>
      <c r="J93" s="15" t="n">
        <v>0</v>
      </c>
      <c r="K93" s="15" t="n">
        <v>0</v>
      </c>
      <c r="L93" s="15" t="n"/>
      <c r="M93" s="111">
        <f>IFERROR(IF(AND(H93&lt;&gt;"",I93&lt;&gt;""),ROUND(MAX(0,(I93-H93)*24-IF((I93-H93)*24&gt;=6,1,0)),2),IF(E93="△",4,0)),0)</f>
        <v/>
      </c>
    </row>
    <row r="94" ht="19.5" customHeight="1">
      <c r="A94" s="68" t="n">
        <v>46134</v>
      </c>
      <c r="B94" s="13" t="n"/>
      <c r="C94" s="14" t="inlineStr">
        <is>
          <t>河津 信貴</t>
        </is>
      </c>
      <c r="D94" s="13" t="n"/>
      <c r="E94" s="13" t="inlineStr">
        <is>
          <t>○</t>
        </is>
      </c>
      <c r="F94" s="13" t="inlineStr">
        <is>
          <t>B</t>
        </is>
      </c>
      <c r="G94" s="14" t="inlineStr">
        <is>
          <t>健老町道路排水施設工事</t>
        </is>
      </c>
      <c r="H94" s="69" t="n">
        <v>0.3381944444444445</v>
      </c>
      <c r="I94" s="69" t="n">
        <v>0.71875</v>
      </c>
      <c r="J94" s="13" t="n">
        <v>0.13</v>
      </c>
      <c r="K94" s="13" t="n">
        <v>0</v>
      </c>
      <c r="L94" s="13" t="n"/>
      <c r="M94" s="111">
        <f>IFERROR(IF(AND(H94&lt;&gt;"",I94&lt;&gt;""),ROUND(MAX(0,(I94-H94)*24-IF((I94-H94)*24&gt;=6,1,0)),2),IF(E94="△",4,0)),0)</f>
        <v/>
      </c>
    </row>
    <row r="95" ht="19.5" customHeight="1">
      <c r="A95" s="70" t="n">
        <v>46134</v>
      </c>
      <c r="B95" s="15" t="n"/>
      <c r="C95" s="16" t="inlineStr">
        <is>
          <t>宮川正利</t>
        </is>
      </c>
      <c r="D95" s="15" t="n"/>
      <c r="E95" s="15" t="inlineStr">
        <is>
          <t>○</t>
        </is>
      </c>
      <c r="F95" s="15" t="inlineStr">
        <is>
          <t>B</t>
        </is>
      </c>
      <c r="G95" s="16" t="inlineStr">
        <is>
          <t>健老町道路排水施設工事</t>
        </is>
      </c>
      <c r="H95" s="71" t="n">
        <v>0.7215277777777778</v>
      </c>
      <c r="I95" s="71" t="n">
        <v>0.7229166666666667</v>
      </c>
      <c r="J95" s="15" t="n">
        <v>0</v>
      </c>
      <c r="K95" s="15" t="n">
        <v>0</v>
      </c>
      <c r="L95" s="15" t="n"/>
      <c r="M95" s="111">
        <f>IFERROR(IF(AND(H95&lt;&gt;"",I95&lt;&gt;""),ROUND(MAX(0,(I95-H95)*24-IF((I95-H95)*24&gt;=6,1,0)),2),IF(E95="△",4,0)),0)</f>
        <v/>
      </c>
    </row>
    <row r="96" ht="19.5" customHeight="1">
      <c r="A96" s="68" t="n">
        <v>46134</v>
      </c>
      <c r="B96" s="13" t="inlineStr">
        <is>
          <t>EMP002</t>
        </is>
      </c>
      <c r="C96" s="14" t="inlineStr">
        <is>
          <t>中原義範</t>
        </is>
      </c>
      <c r="D96" s="13" t="n"/>
      <c r="E96" s="13" t="inlineStr">
        <is>
          <t>○</t>
        </is>
      </c>
      <c r="F96" s="13" t="inlineStr">
        <is>
          <t>A</t>
        </is>
      </c>
      <c r="G96" s="14" t="inlineStr">
        <is>
          <t>会社</t>
        </is>
      </c>
      <c r="H96" s="69" t="n">
        <v>0.3340277777777778</v>
      </c>
      <c r="I96" s="69" t="n">
        <v>0.7291666666666666</v>
      </c>
      <c r="J96" s="13" t="n">
        <v>0.48</v>
      </c>
      <c r="K96" s="13" t="n">
        <v>0</v>
      </c>
      <c r="L96" s="13" t="n"/>
      <c r="M96" s="111">
        <f>IFERROR(IF(AND(H96&lt;&gt;"",I96&lt;&gt;""),ROUND(MAX(0,(I96-H96)*24-IF((I96-H96)*24&gt;=6,1,0)),2),IF(E96="△",4,0)),0)</f>
        <v/>
      </c>
    </row>
    <row r="97" ht="19.5" customHeight="1">
      <c r="A97" s="70" t="n">
        <v>46134</v>
      </c>
      <c r="B97" s="15" t="inlineStr">
        <is>
          <t>EMP004</t>
        </is>
      </c>
      <c r="C97" s="16" t="inlineStr">
        <is>
          <t>中原裟也茄</t>
        </is>
      </c>
      <c r="D97" s="15" t="n"/>
      <c r="E97" s="15" t="inlineStr">
        <is>
          <t>○</t>
        </is>
      </c>
      <c r="F97" s="15" t="inlineStr">
        <is>
          <t>A</t>
        </is>
      </c>
      <c r="G97" s="16" t="inlineStr">
        <is>
          <t>会社</t>
        </is>
      </c>
      <c r="H97" s="71" t="n">
        <v>0.3333333333333333</v>
      </c>
      <c r="I97" s="71" t="n">
        <v>0.7083333333333334</v>
      </c>
      <c r="J97" s="15" t="n">
        <v>0</v>
      </c>
      <c r="K97" s="15" t="n">
        <v>0</v>
      </c>
      <c r="L97" s="15" t="n"/>
      <c r="M97" s="111">
        <f>IFERROR(IF(AND(H97&lt;&gt;"",I97&lt;&gt;""),ROUND(MAX(0,(I97-H97)*24-IF((I97-H97)*24&gt;=6,1,0)),2),IF(E97="△",4,0)),0)</f>
        <v/>
      </c>
    </row>
    <row r="98" ht="19.5" customHeight="1">
      <c r="A98" s="68" t="n">
        <v>46134</v>
      </c>
      <c r="B98" s="13" t="inlineStr">
        <is>
          <t>EMP007</t>
        </is>
      </c>
      <c r="C98" s="14" t="inlineStr">
        <is>
          <t>中原宏</t>
        </is>
      </c>
      <c r="D98" s="13" t="n"/>
      <c r="E98" s="13" t="inlineStr">
        <is>
          <t>○</t>
        </is>
      </c>
      <c r="F98" s="13" t="inlineStr">
        <is>
          <t>D</t>
        </is>
      </c>
      <c r="G98" s="14" t="inlineStr">
        <is>
          <t>その他</t>
        </is>
      </c>
      <c r="H98" s="69" t="n">
        <v>0.3326388888888889</v>
      </c>
      <c r="I98" s="69" t="n">
        <v>0.7625</v>
      </c>
      <c r="J98" s="13" t="n">
        <v>1.32</v>
      </c>
      <c r="K98" s="13" t="n">
        <v>0</v>
      </c>
      <c r="L98" s="13" t="n"/>
      <c r="M98" s="111">
        <f>IFERROR(IF(AND(H98&lt;&gt;"",I98&lt;&gt;""),ROUND(MAX(0,(I98-H98)*24-IF((I98-H98)*24&gt;=6,1,0)),2),IF(E98="△",4,0)),0)</f>
        <v/>
      </c>
    </row>
    <row r="99" ht="19.5" customHeight="1">
      <c r="A99" s="70" t="n">
        <v>46134</v>
      </c>
      <c r="B99" s="15" t="inlineStr">
        <is>
          <t>EMP003</t>
        </is>
      </c>
      <c r="C99" s="16" t="inlineStr">
        <is>
          <t>有田忍</t>
        </is>
      </c>
      <c r="D99" s="15" t="n"/>
      <c r="E99" s="15" t="inlineStr">
        <is>
          <t>○</t>
        </is>
      </c>
      <c r="F99" s="15" t="inlineStr">
        <is>
          <t>B</t>
        </is>
      </c>
      <c r="G99" s="16" t="inlineStr">
        <is>
          <t>健老町道路排水施設工事</t>
        </is>
      </c>
      <c r="H99" s="71" t="n">
        <v>0.3125</v>
      </c>
      <c r="I99" s="71" t="n">
        <v>0.8069444444444445</v>
      </c>
      <c r="J99" s="15" t="n">
        <v>2.87</v>
      </c>
      <c r="K99" s="15" t="n">
        <v>0</v>
      </c>
      <c r="L99" s="15" t="n"/>
      <c r="M99" s="111">
        <f>IFERROR(IF(AND(H99&lt;&gt;"",I99&lt;&gt;""),ROUND(MAX(0,(I99-H99)*24-IF((I99-H99)*24&gt;=6,1,0)),2),IF(E99="△",4,0)),0)</f>
        <v/>
      </c>
    </row>
    <row r="100" ht="19.5" customHeight="1">
      <c r="A100" s="68" t="n">
        <v>46134</v>
      </c>
      <c r="B100" s="13" t="inlineStr">
        <is>
          <t>EMP009</t>
        </is>
      </c>
      <c r="C100" s="14" t="inlineStr">
        <is>
          <t>ヨザ</t>
        </is>
      </c>
      <c r="D100" s="13" t="n"/>
      <c r="E100" s="13" t="inlineStr">
        <is>
          <t>○</t>
        </is>
      </c>
      <c r="F100" s="13" t="inlineStr">
        <is>
          <t>B</t>
        </is>
      </c>
      <c r="G100" s="14" t="inlineStr">
        <is>
          <t>健老町道路排水施設工事</t>
        </is>
      </c>
      <c r="H100" s="69" t="n">
        <v>0.3090277777777778</v>
      </c>
      <c r="I100" s="69" t="n">
        <v>0.7194444444444444</v>
      </c>
      <c r="J100" s="13" t="n">
        <v>0.83</v>
      </c>
      <c r="K100" s="13" t="n">
        <v>0</v>
      </c>
      <c r="L100" s="13" t="n"/>
      <c r="M100" s="111">
        <f>IFERROR(IF(AND(H100&lt;&gt;"",I100&lt;&gt;""),ROUND(MAX(0,(I100-H100)*24-IF((I100-H100)*24&gt;=6,1,0)),2),IF(E100="△",4,0)),0)</f>
        <v/>
      </c>
    </row>
    <row r="101" ht="19.5" customHeight="1">
      <c r="A101" s="70" t="n">
        <v>46134</v>
      </c>
      <c r="B101" s="15" t="inlineStr">
        <is>
          <t>EMP008</t>
        </is>
      </c>
      <c r="C101" s="16" t="inlineStr">
        <is>
          <t>アルフィ</t>
        </is>
      </c>
      <c r="D101" s="15" t="n"/>
      <c r="E101" s="15" t="inlineStr">
        <is>
          <t>○</t>
        </is>
      </c>
      <c r="F101" s="15" t="inlineStr">
        <is>
          <t>B</t>
        </is>
      </c>
      <c r="G101" s="16" t="inlineStr">
        <is>
          <t>健老町道路排水施設工事</t>
        </is>
      </c>
      <c r="H101" s="71" t="n">
        <v>0.3097222222222222</v>
      </c>
      <c r="I101" s="71" t="n">
        <v>0.71875</v>
      </c>
      <c r="J101" s="15" t="n">
        <v>0.82</v>
      </c>
      <c r="K101" s="15" t="n">
        <v>0</v>
      </c>
      <c r="L101" s="15" t="n"/>
      <c r="M101" s="111">
        <f>IFERROR(IF(AND(H101&lt;&gt;"",I101&lt;&gt;""),ROUND(MAX(0,(I101-H101)*24-IF((I101-H101)*24&gt;=6,1,0)),2),IF(E101="△",4,0)),0)</f>
        <v/>
      </c>
    </row>
    <row r="102" ht="19.5" customHeight="1">
      <c r="A102" s="68" t="n">
        <v>46134</v>
      </c>
      <c r="B102" s="13" t="inlineStr">
        <is>
          <t>EMP010</t>
        </is>
      </c>
      <c r="C102" s="14" t="inlineStr">
        <is>
          <t>リズキ</t>
        </is>
      </c>
      <c r="D102" s="13" t="n"/>
      <c r="E102" s="13" t="inlineStr">
        <is>
          <t>○</t>
        </is>
      </c>
      <c r="F102" s="13" t="inlineStr">
        <is>
          <t>B</t>
        </is>
      </c>
      <c r="G102" s="14" t="inlineStr">
        <is>
          <t>健老町道路排水施設工事</t>
        </is>
      </c>
      <c r="H102" s="69" t="n">
        <v>0.3145833333333333</v>
      </c>
      <c r="I102" s="69" t="n">
        <v>0.7194444444444444</v>
      </c>
      <c r="J102" s="13" t="n">
        <v>0.72</v>
      </c>
      <c r="K102" s="13" t="n">
        <v>0</v>
      </c>
      <c r="L102" s="13" t="n"/>
      <c r="M102" s="111">
        <f>IFERROR(IF(AND(H102&lt;&gt;"",I102&lt;&gt;""),ROUND(MAX(0,(I102-H102)*24-IF((I102-H102)*24&gt;=6,1,0)),2),IF(E102="△",4,0)),0)</f>
        <v/>
      </c>
    </row>
    <row r="103" ht="19.5" customHeight="1">
      <c r="A103" s="70" t="n">
        <v>46134</v>
      </c>
      <c r="B103" s="15" t="inlineStr">
        <is>
          <t>EMP011</t>
        </is>
      </c>
      <c r="C103" s="16" t="inlineStr">
        <is>
          <t>ディマス</t>
        </is>
      </c>
      <c r="D103" s="15" t="n"/>
      <c r="E103" s="15" t="inlineStr">
        <is>
          <t>○</t>
        </is>
      </c>
      <c r="F103" s="15" t="inlineStr">
        <is>
          <t>B</t>
        </is>
      </c>
      <c r="G103" s="16" t="inlineStr">
        <is>
          <t>健老町道路排水施設工事</t>
        </is>
      </c>
      <c r="H103" s="71" t="n">
        <v>0.3208333333333334</v>
      </c>
      <c r="I103" s="71" t="n">
        <v>0.7194444444444444</v>
      </c>
      <c r="J103" s="15" t="n">
        <v>0.55</v>
      </c>
      <c r="K103" s="15" t="n">
        <v>0</v>
      </c>
      <c r="L103" s="15" t="n"/>
      <c r="M103" s="111">
        <f>IFERROR(IF(AND(H103&lt;&gt;"",I103&lt;&gt;""),ROUND(MAX(0,(I103-H103)*24-IF((I103-H103)*24&gt;=6,1,0)),2),IF(E103="△",4,0)),0)</f>
        <v/>
      </c>
    </row>
    <row r="104" ht="19.5" customHeight="1">
      <c r="A104" s="68" t="n">
        <v>46135</v>
      </c>
      <c r="B104" s="13" t="inlineStr">
        <is>
          <t>EMP012</t>
        </is>
      </c>
      <c r="C104" s="14" t="inlineStr">
        <is>
          <t>山田ゆかり</t>
        </is>
      </c>
      <c r="D104" s="13" t="n"/>
      <c r="E104" s="13" t="inlineStr">
        <is>
          <t>○</t>
        </is>
      </c>
      <c r="F104" s="13" t="inlineStr">
        <is>
          <t>A</t>
        </is>
      </c>
      <c r="G104" s="14" t="inlineStr">
        <is>
          <t>会社</t>
        </is>
      </c>
      <c r="H104" s="69" t="n">
        <v>0.3631944444444444</v>
      </c>
      <c r="I104" s="69" t="n">
        <v>0.7097222222222223</v>
      </c>
      <c r="J104" s="13" t="n">
        <v>0</v>
      </c>
      <c r="K104" s="13" t="n">
        <v>0</v>
      </c>
      <c r="L104" s="13" t="n"/>
      <c r="M104" s="111">
        <f>IFERROR(IF(AND(H104&lt;&gt;"",I104&lt;&gt;""),ROUND(MAX(0,(I104-H104)*24-IF((I104-H104)*24&gt;=6,1,0)),2),IF(E104="△",4,0)),0)</f>
        <v/>
      </c>
    </row>
    <row r="105" ht="19.5" customHeight="1">
      <c r="A105" s="70" t="n">
        <v>46135</v>
      </c>
      <c r="B105" s="15" t="inlineStr">
        <is>
          <t>EMP016</t>
        </is>
      </c>
      <c r="C105" s="16" t="inlineStr">
        <is>
          <t>畑野浩次</t>
        </is>
      </c>
      <c r="D105" s="15" t="n"/>
      <c r="E105" s="15" t="inlineStr">
        <is>
          <t>○</t>
        </is>
      </c>
      <c r="F105" s="15" t="inlineStr">
        <is>
          <t>A</t>
        </is>
      </c>
      <c r="G105" s="16" t="inlineStr">
        <is>
          <t>会社</t>
        </is>
      </c>
      <c r="H105" s="71" t="n">
        <v>0.3590277777777778</v>
      </c>
      <c r="I105" s="71" t="n">
        <v>0.7111111111111111</v>
      </c>
      <c r="J105" s="15" t="n">
        <v>0</v>
      </c>
      <c r="K105" s="15" t="n">
        <v>0</v>
      </c>
      <c r="L105" s="15" t="n"/>
      <c r="M105" s="111">
        <f>IFERROR(IF(AND(H105&lt;&gt;"",I105&lt;&gt;""),ROUND(MAX(0,(I105-H105)*24-IF((I105-H105)*24&gt;=6,1,0)),2),IF(E105="△",4,0)),0)</f>
        <v/>
      </c>
    </row>
    <row r="106" ht="19.5" customHeight="1">
      <c r="A106" s="68" t="n">
        <v>46135</v>
      </c>
      <c r="B106" s="13" t="inlineStr">
        <is>
          <t>EMP013</t>
        </is>
      </c>
      <c r="C106" s="14" t="inlineStr">
        <is>
          <t>菊川裕美</t>
        </is>
      </c>
      <c r="D106" s="13" t="n"/>
      <c r="E106" s="13" t="inlineStr">
        <is>
          <t>有給</t>
        </is>
      </c>
      <c r="F106" s="13" t="n"/>
      <c r="G106" s="14" t="n"/>
      <c r="H106" s="13" t="n"/>
      <c r="I106" s="13" t="n"/>
      <c r="J106" s="13" t="n">
        <v>0</v>
      </c>
      <c r="K106" s="13" t="n">
        <v>0</v>
      </c>
      <c r="L106" s="13" t="n"/>
      <c r="M106" s="111">
        <f>IFERROR(IF(AND(H106&lt;&gt;"",I106&lt;&gt;""),ROUND(MAX(0,(I106-H106)*24-IF((I106-H106)*24&gt;=6,1,0)),2),IF(E106="△",4,0)),0)</f>
        <v/>
      </c>
    </row>
    <row r="107" ht="19.5" customHeight="1">
      <c r="A107" s="70" t="n">
        <v>46135</v>
      </c>
      <c r="B107" s="15" t="inlineStr">
        <is>
          <t>EMP017</t>
        </is>
      </c>
      <c r="C107" s="16" t="inlineStr">
        <is>
          <t>濱津紀子</t>
        </is>
      </c>
      <c r="D107" s="15" t="n"/>
      <c r="E107" s="15" t="inlineStr">
        <is>
          <t>○</t>
        </is>
      </c>
      <c r="F107" s="15" t="inlineStr">
        <is>
          <t>A</t>
        </is>
      </c>
      <c r="G107" s="16" t="inlineStr">
        <is>
          <t>会社</t>
        </is>
      </c>
      <c r="H107" s="71" t="n">
        <v>0.3715277777777778</v>
      </c>
      <c r="I107" s="71" t="n">
        <v>0.6270833333333333</v>
      </c>
      <c r="J107" s="15" t="n">
        <v>0</v>
      </c>
      <c r="K107" s="15" t="n">
        <v>0</v>
      </c>
      <c r="L107" s="15" t="n"/>
      <c r="M107" s="111">
        <f>IFERROR(IF(AND(H107&lt;&gt;"",I107&lt;&gt;""),ROUND(MAX(0,(I107-H107)*24-IF((I107-H107)*24&gt;=6,1,0)),2),IF(E107="△",4,0)),0)</f>
        <v/>
      </c>
    </row>
    <row r="108" ht="19.5" customHeight="1">
      <c r="A108" s="68" t="n">
        <v>46136</v>
      </c>
      <c r="B108" s="13" t="inlineStr">
        <is>
          <t>EMP012</t>
        </is>
      </c>
      <c r="C108" s="14" t="inlineStr">
        <is>
          <t>山田ゆかり</t>
        </is>
      </c>
      <c r="D108" s="13" t="n"/>
      <c r="E108" s="13" t="inlineStr">
        <is>
          <t>○</t>
        </is>
      </c>
      <c r="F108" s="13" t="inlineStr">
        <is>
          <t>A</t>
        </is>
      </c>
      <c r="G108" s="14" t="inlineStr">
        <is>
          <t>会社</t>
        </is>
      </c>
      <c r="H108" s="69" t="n">
        <v>0.3645833333333333</v>
      </c>
      <c r="I108" s="69" t="n">
        <v>0.7083333333333334</v>
      </c>
      <c r="J108" s="13" t="n">
        <v>0</v>
      </c>
      <c r="K108" s="13" t="n">
        <v>0</v>
      </c>
      <c r="L108" s="13" t="n"/>
      <c r="M108" s="111">
        <f>IFERROR(IF(AND(H108&lt;&gt;"",I108&lt;&gt;""),ROUND(MAX(0,(I108-H108)*24-IF((I108-H108)*24&gt;=6,1,0)),2),IF(E108="△",4,0)),0)</f>
        <v/>
      </c>
    </row>
    <row r="109" ht="19.5" customHeight="1">
      <c r="A109" s="70" t="n">
        <v>46136</v>
      </c>
      <c r="B109" s="15" t="inlineStr">
        <is>
          <t>EMP016</t>
        </is>
      </c>
      <c r="C109" s="16" t="inlineStr">
        <is>
          <t>畑野浩次</t>
        </is>
      </c>
      <c r="D109" s="15" t="n"/>
      <c r="E109" s="15" t="inlineStr">
        <is>
          <t>○</t>
        </is>
      </c>
      <c r="F109" s="15" t="inlineStr">
        <is>
          <t>A</t>
        </is>
      </c>
      <c r="G109" s="16" t="inlineStr">
        <is>
          <t>会社</t>
        </is>
      </c>
      <c r="H109" s="71" t="n">
        <v>0.3611111111111111</v>
      </c>
      <c r="I109" s="71" t="n">
        <v>0.7097222222222223</v>
      </c>
      <c r="J109" s="15" t="n">
        <v>0</v>
      </c>
      <c r="K109" s="15" t="n">
        <v>0</v>
      </c>
      <c r="L109" s="15" t="n"/>
      <c r="M109" s="111">
        <f>IFERROR(IF(AND(H109&lt;&gt;"",I109&lt;&gt;""),ROUND(MAX(0,(I109-H109)*24-IF((I109-H109)*24&gt;=6,1,0)),2),IF(E109="△",4,0)),0)</f>
        <v/>
      </c>
    </row>
    <row r="110">
      <c r="A110" s="72" t="n">
        <v>46136</v>
      </c>
      <c r="B110" t="inlineStr">
        <is>
          <t>EMP013</t>
        </is>
      </c>
      <c r="C110" t="inlineStr">
        <is>
          <t>菊川裕美</t>
        </is>
      </c>
      <c r="E110" t="inlineStr">
        <is>
          <t>○</t>
        </is>
      </c>
      <c r="F110" t="inlineStr">
        <is>
          <t>A</t>
        </is>
      </c>
      <c r="G110" t="inlineStr">
        <is>
          <t>会社</t>
        </is>
      </c>
      <c r="H110" s="73" t="n">
        <v>0.3659722222222222</v>
      </c>
      <c r="I110" s="73" t="n">
        <v>0.6284722222222222</v>
      </c>
      <c r="J110" t="n">
        <v>0</v>
      </c>
      <c r="K110" t="n">
        <v>0</v>
      </c>
      <c r="M110" s="111">
        <f>IFERROR(IF(AND(H110&lt;&gt;"",I110&lt;&gt;""),ROUND(MAX(0,(I110-H110)*24-IF((I110-H110)*24&gt;=6,1,0)),2),IF(E110="△",4,0)),0)</f>
        <v/>
      </c>
    </row>
    <row r="111">
      <c r="A111" s="72" t="n">
        <v>46136</v>
      </c>
      <c r="B111" t="inlineStr">
        <is>
          <t>EMP017</t>
        </is>
      </c>
      <c r="C111" t="inlineStr">
        <is>
          <t>濱津紀子</t>
        </is>
      </c>
      <c r="E111" t="inlineStr">
        <is>
          <t>○</t>
        </is>
      </c>
      <c r="F111" t="inlineStr">
        <is>
          <t>A</t>
        </is>
      </c>
      <c r="G111" t="inlineStr">
        <is>
          <t>会社</t>
        </is>
      </c>
      <c r="H111" s="73" t="n">
        <v>0.3680555555555556</v>
      </c>
      <c r="I111" s="73" t="n">
        <v>0.6361111111111111</v>
      </c>
      <c r="J111" t="n">
        <v>0</v>
      </c>
      <c r="K111" t="n">
        <v>0</v>
      </c>
      <c r="M111" s="111">
        <f>IFERROR(IF(AND(H111&lt;&gt;"",I111&lt;&gt;""),ROUND(MAX(0,(I111-H111)*24-IF((I111-H111)*24&gt;=6,1,0)),2),IF(E111="△",4,0)),0)</f>
        <v/>
      </c>
    </row>
    <row r="112">
      <c r="A112" s="72" t="n">
        <v>46139</v>
      </c>
      <c r="B112" t="inlineStr">
        <is>
          <t>EMP012</t>
        </is>
      </c>
      <c r="C112" t="inlineStr">
        <is>
          <t>山田ゆかり</t>
        </is>
      </c>
      <c r="E112" t="inlineStr">
        <is>
          <t>○</t>
        </is>
      </c>
      <c r="F112" t="inlineStr">
        <is>
          <t>A</t>
        </is>
      </c>
      <c r="G112" t="inlineStr">
        <is>
          <t>会社</t>
        </is>
      </c>
      <c r="H112" s="73" t="n">
        <v>0.3611111111111111</v>
      </c>
      <c r="I112" s="73" t="n">
        <v>0.7118055555555556</v>
      </c>
      <c r="J112" t="n">
        <v>0</v>
      </c>
      <c r="K112" t="n">
        <v>0</v>
      </c>
      <c r="M112" s="111">
        <f>IFERROR(IF(AND(H112&lt;&gt;"",I112&lt;&gt;""),ROUND(MAX(0,(I112-H112)*24-IF((I112-H112)*24&gt;=6,1,0)),2),IF(E112="△",4,0)),0)</f>
        <v/>
      </c>
    </row>
    <row r="113">
      <c r="A113" s="72" t="n">
        <v>46139</v>
      </c>
      <c r="B113" t="inlineStr">
        <is>
          <t>EMP016</t>
        </is>
      </c>
      <c r="C113" t="inlineStr">
        <is>
          <t>畑野浩次</t>
        </is>
      </c>
      <c r="E113" t="inlineStr">
        <is>
          <t>○</t>
        </is>
      </c>
      <c r="F113" t="inlineStr">
        <is>
          <t>A</t>
        </is>
      </c>
      <c r="G113" t="inlineStr">
        <is>
          <t>会社</t>
        </is>
      </c>
      <c r="H113" s="73" t="n">
        <v>0.3680555555555556</v>
      </c>
      <c r="I113" s="73" t="n">
        <v>0.7118055555555556</v>
      </c>
      <c r="J113" t="n">
        <v>0</v>
      </c>
      <c r="K113" t="n">
        <v>0</v>
      </c>
      <c r="M113" s="111">
        <f>IFERROR(IF(AND(H113&lt;&gt;"",I113&lt;&gt;""),ROUND(MAX(0,(I113-H113)*24-IF((I113-H113)*24&gt;=6,1,0)),2),IF(E113="△",4,0)),0)</f>
        <v/>
      </c>
    </row>
    <row r="114">
      <c r="A114" s="72" t="n">
        <v>46139</v>
      </c>
      <c r="B114" t="inlineStr">
        <is>
          <t>EMP013</t>
        </is>
      </c>
      <c r="C114" t="inlineStr">
        <is>
          <t>菊川裕美</t>
        </is>
      </c>
      <c r="E114" t="inlineStr">
        <is>
          <t>○</t>
        </is>
      </c>
      <c r="F114" t="inlineStr">
        <is>
          <t>A</t>
        </is>
      </c>
      <c r="G114" t="inlineStr">
        <is>
          <t>会社</t>
        </is>
      </c>
      <c r="H114" s="73" t="n">
        <v>0.3666666666666666</v>
      </c>
      <c r="I114" s="73" t="n">
        <v>0.6277777777777778</v>
      </c>
      <c r="J114" t="n">
        <v>0</v>
      </c>
      <c r="K114" t="n">
        <v>0</v>
      </c>
      <c r="M114" s="111">
        <f>IFERROR(IF(AND(H114&lt;&gt;"",I114&lt;&gt;""),ROUND(MAX(0,(I114-H114)*24-IF((I114-H114)*24&gt;=6,1,0)),2),IF(E114="△",4,0)),0)</f>
        <v/>
      </c>
    </row>
    <row r="115">
      <c r="A115" s="72" t="n">
        <v>46139</v>
      </c>
      <c r="B115" t="inlineStr">
        <is>
          <t>EMP017</t>
        </is>
      </c>
      <c r="C115" t="inlineStr">
        <is>
          <t>濱津紀子</t>
        </is>
      </c>
      <c r="E115" t="inlineStr">
        <is>
          <t>○</t>
        </is>
      </c>
      <c r="F115" t="inlineStr">
        <is>
          <t>A</t>
        </is>
      </c>
      <c r="G115" t="inlineStr">
        <is>
          <t>会社</t>
        </is>
      </c>
      <c r="H115" s="73" t="n">
        <v>0.3715277777777778</v>
      </c>
      <c r="I115" s="73" t="n">
        <v>0.6284722222222222</v>
      </c>
      <c r="J115" t="n">
        <v>0</v>
      </c>
      <c r="K115" t="n">
        <v>0</v>
      </c>
      <c r="M115" s="111">
        <f>IFERROR(IF(AND(H115&lt;&gt;"",I115&lt;&gt;""),ROUND(MAX(0,(I115-H115)*24-IF((I115-H115)*24&gt;=6,1,0)),2),IF(E115="△",4,0)),0)</f>
        <v/>
      </c>
    </row>
    <row r="116">
      <c r="A116" s="72" t="n">
        <v>46139</v>
      </c>
      <c r="B116" t="inlineStr">
        <is>
          <t>EMP002</t>
        </is>
      </c>
      <c r="C116" t="inlineStr">
        <is>
          <t>中原義範</t>
        </is>
      </c>
      <c r="E116" t="inlineStr">
        <is>
          <t>○</t>
        </is>
      </c>
      <c r="F116" t="inlineStr">
        <is>
          <t>A</t>
        </is>
      </c>
      <c r="G116" t="inlineStr">
        <is>
          <t>会社</t>
        </is>
      </c>
      <c r="H116" s="73" t="n">
        <v>0.3368055555555556</v>
      </c>
      <c r="I116" s="73" t="n">
        <v>0.7326388888888888</v>
      </c>
      <c r="J116" t="n">
        <v>0.5</v>
      </c>
      <c r="K116" t="n">
        <v>0</v>
      </c>
      <c r="M116" s="111">
        <f>IFERROR(IF(AND(H116&lt;&gt;"",I116&lt;&gt;""),ROUND(MAX(0,(I116-H116)*24-IF((I116-H116)*24&gt;=6,1,0)),2),IF(E116="△",4,0)),0)</f>
        <v/>
      </c>
    </row>
    <row r="117">
      <c r="A117" s="72" t="n">
        <v>46139</v>
      </c>
      <c r="B117" t="inlineStr">
        <is>
          <t>EMP004</t>
        </is>
      </c>
      <c r="C117" t="inlineStr">
        <is>
          <t>中原裟也茄</t>
        </is>
      </c>
      <c r="E117" t="inlineStr">
        <is>
          <t>○</t>
        </is>
      </c>
      <c r="F117" t="inlineStr">
        <is>
          <t>C</t>
        </is>
      </c>
      <c r="G117" t="inlineStr">
        <is>
          <t>四山海岸高潮対策工事</t>
        </is>
      </c>
      <c r="H117" s="73" t="n">
        <v>0.3291666666666667</v>
      </c>
      <c r="I117" s="73" t="n">
        <v>0.7083333333333334</v>
      </c>
      <c r="J117" t="n">
        <v>0.1</v>
      </c>
      <c r="K117" t="n">
        <v>0</v>
      </c>
      <c r="M117" s="111">
        <f>IFERROR(IF(AND(H117&lt;&gt;"",I117&lt;&gt;""),ROUND(MAX(0,(I117-H117)*24-IF((I117-H117)*24&gt;=6,1,0)),2),IF(E117="△",4,0)),0)</f>
        <v/>
      </c>
    </row>
    <row r="118">
      <c r="A118" s="72" t="n">
        <v>46139</v>
      </c>
      <c r="B118" t="inlineStr">
        <is>
          <t>EMP007</t>
        </is>
      </c>
      <c r="C118" t="inlineStr">
        <is>
          <t>中原宏</t>
        </is>
      </c>
      <c r="E118" t="inlineStr">
        <is>
          <t>○</t>
        </is>
      </c>
      <c r="F118" t="inlineStr">
        <is>
          <t>C</t>
        </is>
      </c>
      <c r="G118" t="inlineStr">
        <is>
          <t>四山海岸高潮対策工事</t>
        </is>
      </c>
      <c r="H118" s="73" t="n">
        <v>0.3333333333333333</v>
      </c>
      <c r="I118" s="73" t="n">
        <v>0.7083333333333334</v>
      </c>
      <c r="J118" t="n">
        <v>0</v>
      </c>
      <c r="K118" t="n">
        <v>0</v>
      </c>
      <c r="M118" s="111">
        <f>IFERROR(IF(AND(H118&lt;&gt;"",I118&lt;&gt;""),ROUND(MAX(0,(I118-H118)*24-IF((I118-H118)*24&gt;=6,1,0)),2),IF(E118="△",4,0)),0)</f>
        <v/>
      </c>
    </row>
    <row r="119">
      <c r="A119" s="72" t="n">
        <v>46139</v>
      </c>
      <c r="B119" t="inlineStr">
        <is>
          <t>EMP003</t>
        </is>
      </c>
      <c r="C119" t="inlineStr">
        <is>
          <t>有田忍</t>
        </is>
      </c>
      <c r="E119" t="inlineStr">
        <is>
          <t>○</t>
        </is>
      </c>
      <c r="F119" t="inlineStr">
        <is>
          <t>B</t>
        </is>
      </c>
      <c r="G119" t="inlineStr">
        <is>
          <t>健老町道路排水施設工事</t>
        </is>
      </c>
      <c r="H119" s="73" t="n">
        <v>0.3138888888888889</v>
      </c>
      <c r="I119" s="73" t="n">
        <v>0.7979166666666667</v>
      </c>
      <c r="J119" t="n">
        <v>2.62</v>
      </c>
      <c r="K119" t="n">
        <v>0</v>
      </c>
      <c r="M119" s="111">
        <f>IFERROR(IF(AND(H119&lt;&gt;"",I119&lt;&gt;""),ROUND(MAX(0,(I119-H119)*24-IF((I119-H119)*24&gt;=6,1,0)),2),IF(E119="△",4,0)),0)</f>
        <v/>
      </c>
    </row>
    <row r="120">
      <c r="A120" s="72" t="n">
        <v>46139</v>
      </c>
      <c r="B120" t="inlineStr">
        <is>
          <t>EMP009</t>
        </is>
      </c>
      <c r="C120" t="inlineStr">
        <is>
          <t>ヨザ</t>
        </is>
      </c>
      <c r="E120" t="inlineStr">
        <is>
          <t>○</t>
        </is>
      </c>
      <c r="F120" t="inlineStr">
        <is>
          <t>B</t>
        </is>
      </c>
      <c r="G120" t="inlineStr">
        <is>
          <t>健老町道路排水施設工事</t>
        </is>
      </c>
      <c r="H120" s="73" t="n">
        <v>0.3083333333333333</v>
      </c>
      <c r="I120" s="73" t="n">
        <v>0.7166666666666667</v>
      </c>
      <c r="J120" t="n">
        <v>0.78</v>
      </c>
      <c r="K120" t="n">
        <v>0</v>
      </c>
      <c r="M120" s="111">
        <f>IFERROR(IF(AND(H120&lt;&gt;"",I120&lt;&gt;""),ROUND(MAX(0,(I120-H120)*24-IF((I120-H120)*24&gt;=6,1,0)),2),IF(E120="△",4,0)),0)</f>
        <v/>
      </c>
    </row>
    <row r="121">
      <c r="A121" s="72" t="n">
        <v>46139</v>
      </c>
      <c r="B121" t="inlineStr">
        <is>
          <t>EMP008</t>
        </is>
      </c>
      <c r="C121" t="inlineStr">
        <is>
          <t>アルフィ</t>
        </is>
      </c>
      <c r="E121" t="inlineStr">
        <is>
          <t>○</t>
        </is>
      </c>
      <c r="F121" t="inlineStr">
        <is>
          <t>B</t>
        </is>
      </c>
      <c r="G121" t="inlineStr">
        <is>
          <t>健老町道路排水施設工事</t>
        </is>
      </c>
      <c r="H121" s="73" t="n">
        <v>0.3104166666666667</v>
      </c>
      <c r="I121" s="73" t="n">
        <v>0.7159722222222222</v>
      </c>
      <c r="J121" t="n">
        <v>0.72</v>
      </c>
      <c r="K121" t="n">
        <v>0</v>
      </c>
      <c r="M121" s="111">
        <f>IFERROR(IF(AND(H121&lt;&gt;"",I121&lt;&gt;""),ROUND(MAX(0,(I121-H121)*24-IF((I121-H121)*24&gt;=6,1,0)),2),IF(E121="△",4,0)),0)</f>
        <v/>
      </c>
    </row>
    <row r="122">
      <c r="A122" s="72" t="n">
        <v>46139</v>
      </c>
      <c r="B122" t="inlineStr">
        <is>
          <t>EMP010</t>
        </is>
      </c>
      <c r="C122" t="inlineStr">
        <is>
          <t>リズキ</t>
        </is>
      </c>
      <c r="E122" t="inlineStr">
        <is>
          <t>○</t>
        </is>
      </c>
      <c r="F122" t="inlineStr">
        <is>
          <t>B</t>
        </is>
      </c>
      <c r="G122" t="inlineStr">
        <is>
          <t>健老町道路排水施設工事</t>
        </is>
      </c>
      <c r="H122" s="73" t="n">
        <v>0.3097222222222222</v>
      </c>
      <c r="I122" s="73" t="n">
        <v>0.73125</v>
      </c>
      <c r="J122" t="n">
        <v>1.12</v>
      </c>
      <c r="K122" t="n">
        <v>0</v>
      </c>
      <c r="M122" s="111">
        <f>IFERROR(IF(AND(H122&lt;&gt;"",I122&lt;&gt;""),ROUND(MAX(0,(I122-H122)*24-IF((I122-H122)*24&gt;=6,1,0)),2),IF(E122="△",4,0)),0)</f>
        <v/>
      </c>
    </row>
    <row r="123">
      <c r="A123" s="72" t="n">
        <v>46139</v>
      </c>
      <c r="B123" t="inlineStr">
        <is>
          <t>EMP011</t>
        </is>
      </c>
      <c r="C123" t="inlineStr">
        <is>
          <t>ディマス</t>
        </is>
      </c>
      <c r="E123" t="inlineStr">
        <is>
          <t>○</t>
        </is>
      </c>
      <c r="F123" t="inlineStr">
        <is>
          <t>B</t>
        </is>
      </c>
      <c r="G123" t="inlineStr">
        <is>
          <t>健老町道路排水施設工事</t>
        </is>
      </c>
      <c r="H123" s="73" t="n">
        <v>0.3083333333333333</v>
      </c>
      <c r="I123" s="73" t="n">
        <v>0.7159722222222222</v>
      </c>
      <c r="J123" t="n">
        <v>0.77</v>
      </c>
      <c r="K123" t="n">
        <v>0</v>
      </c>
      <c r="M123" s="111">
        <f>IFERROR(IF(AND(H123&lt;&gt;"",I123&lt;&gt;""),ROUND(MAX(0,(I123-H123)*24-IF((I123-H123)*24&gt;=6,1,0)),2),IF(E123="△",4,0)),0)</f>
        <v/>
      </c>
    </row>
    <row r="124">
      <c r="A124" s="72" t="n">
        <v>46140</v>
      </c>
      <c r="B124" t="inlineStr">
        <is>
          <t>EMP012</t>
        </is>
      </c>
      <c r="C124" t="inlineStr">
        <is>
          <t>山田ゆかり</t>
        </is>
      </c>
      <c r="E124" t="inlineStr">
        <is>
          <t>○</t>
        </is>
      </c>
      <c r="F124" t="inlineStr">
        <is>
          <t>A</t>
        </is>
      </c>
      <c r="G124" t="inlineStr">
        <is>
          <t>会社</t>
        </is>
      </c>
      <c r="H124" s="73" t="n">
        <v>0.3611111111111111</v>
      </c>
      <c r="I124" s="73" t="n">
        <v>0.7159722222222222</v>
      </c>
      <c r="J124" t="n">
        <v>0</v>
      </c>
      <c r="K124" t="n">
        <v>0</v>
      </c>
      <c r="M124" s="111">
        <f>IFERROR(IF(AND(H124&lt;&gt;"",I124&lt;&gt;""),ROUND(MAX(0,(I124-H124)*24-IF((I124-H124)*24&gt;=6,1,0)),2),IF(E124="△",4,0)),0)</f>
        <v/>
      </c>
    </row>
    <row r="125">
      <c r="A125" s="72" t="n">
        <v>46140</v>
      </c>
      <c r="B125" t="inlineStr">
        <is>
          <t>EMP016</t>
        </is>
      </c>
      <c r="C125" t="inlineStr">
        <is>
          <t>畑野浩次</t>
        </is>
      </c>
      <c r="E125" t="inlineStr">
        <is>
          <t>○</t>
        </is>
      </c>
      <c r="F125" t="inlineStr">
        <is>
          <t>A</t>
        </is>
      </c>
      <c r="G125" t="inlineStr">
        <is>
          <t>会社</t>
        </is>
      </c>
      <c r="H125" s="73" t="n">
        <v>0.36875</v>
      </c>
      <c r="I125" s="73" t="n">
        <v>0.7118055555555556</v>
      </c>
      <c r="J125" t="n">
        <v>0</v>
      </c>
      <c r="K125" t="n">
        <v>0</v>
      </c>
      <c r="M125" s="111">
        <f>IFERROR(IF(AND(H125&lt;&gt;"",I125&lt;&gt;""),ROUND(MAX(0,(I125-H125)*24-IF((I125-H125)*24&gt;=6,1,0)),2),IF(E125="△",4,0)),0)</f>
        <v/>
      </c>
    </row>
    <row r="126">
      <c r="A126" s="72" t="n">
        <v>46140</v>
      </c>
      <c r="B126" t="inlineStr">
        <is>
          <t>EMP013</t>
        </is>
      </c>
      <c r="C126" t="inlineStr">
        <is>
          <t>菊川裕美</t>
        </is>
      </c>
      <c r="E126" t="inlineStr">
        <is>
          <t>○</t>
        </is>
      </c>
      <c r="F126" t="inlineStr">
        <is>
          <t>A</t>
        </is>
      </c>
      <c r="G126" t="inlineStr">
        <is>
          <t>会社</t>
        </is>
      </c>
      <c r="H126" s="73" t="n">
        <v>0.3645833333333333</v>
      </c>
      <c r="I126" s="73" t="n">
        <v>0.6291666666666667</v>
      </c>
      <c r="J126" t="n">
        <v>0</v>
      </c>
      <c r="K126" t="n">
        <v>0</v>
      </c>
      <c r="M126" s="111">
        <f>IFERROR(IF(AND(H126&lt;&gt;"",I126&lt;&gt;""),ROUND(MAX(0,(I126-H126)*24-IF((I126-H126)*24&gt;=6,1,0)),2),IF(E126="△",4,0)),0)</f>
        <v/>
      </c>
    </row>
    <row r="127">
      <c r="A127" s="72" t="n">
        <v>46140</v>
      </c>
      <c r="B127" t="inlineStr">
        <is>
          <t>EMP017</t>
        </is>
      </c>
      <c r="C127" t="inlineStr">
        <is>
          <t>濱津紀子</t>
        </is>
      </c>
      <c r="E127" t="inlineStr">
        <is>
          <t>○</t>
        </is>
      </c>
      <c r="F127" t="inlineStr">
        <is>
          <t>A</t>
        </is>
      </c>
      <c r="G127" t="inlineStr">
        <is>
          <t>会社</t>
        </is>
      </c>
      <c r="H127" s="73" t="n">
        <v>0.3743055555555556</v>
      </c>
      <c r="I127" s="73" t="n">
        <v>0.6277777777777778</v>
      </c>
      <c r="J127" t="n">
        <v>0</v>
      </c>
      <c r="K127" t="n">
        <v>0</v>
      </c>
      <c r="M127" s="111">
        <f>IFERROR(IF(AND(H127&lt;&gt;"",I127&lt;&gt;""),ROUND(MAX(0,(I127-H127)*24-IF((I127-H127)*24&gt;=6,1,0)),2),IF(E127="△",4,0)),0)</f>
        <v/>
      </c>
    </row>
    <row r="128">
      <c r="A128" s="72" t="n">
        <v>46140</v>
      </c>
      <c r="C128" t="inlineStr">
        <is>
          <t>宮川正利</t>
        </is>
      </c>
      <c r="E128" t="inlineStr">
        <is>
          <t>○</t>
        </is>
      </c>
      <c r="F128" t="inlineStr">
        <is>
          <t>B</t>
        </is>
      </c>
      <c r="G128" t="inlineStr">
        <is>
          <t>健老町道路排水施設工事</t>
        </is>
      </c>
      <c r="H128" s="73" t="n">
        <v>0.3131944444444444</v>
      </c>
      <c r="I128" s="73" t="n">
        <v>0.7291666666666666</v>
      </c>
      <c r="J128" t="n">
        <v>0.98</v>
      </c>
      <c r="K128" t="n">
        <v>0</v>
      </c>
      <c r="M128" s="111">
        <f>IFERROR(IF(AND(H128&lt;&gt;"",I128&lt;&gt;""),ROUND(MAX(0,(I128-H128)*24-IF((I128-H128)*24&gt;=6,1,0)),2),IF(E128="△",4,0)),0)</f>
        <v/>
      </c>
    </row>
    <row r="129">
      <c r="A129" s="72" t="n">
        <v>46140</v>
      </c>
      <c r="B129" t="inlineStr">
        <is>
          <t>EMP002</t>
        </is>
      </c>
      <c r="C129" t="inlineStr">
        <is>
          <t>中原義範</t>
        </is>
      </c>
      <c r="E129" t="inlineStr">
        <is>
          <t>○</t>
        </is>
      </c>
      <c r="F129" t="inlineStr">
        <is>
          <t>C</t>
        </is>
      </c>
      <c r="G129" t="inlineStr">
        <is>
          <t>四山海岸高潮対策工事</t>
        </is>
      </c>
      <c r="H129" s="73" t="n">
        <v>0.3361111111111111</v>
      </c>
      <c r="I129" s="73" t="n">
        <v>0.7236111111111111</v>
      </c>
      <c r="J129" t="n">
        <v>0.28</v>
      </c>
      <c r="K129" t="n">
        <v>0</v>
      </c>
      <c r="M129" s="111">
        <f>IFERROR(IF(AND(H129&lt;&gt;"",I129&lt;&gt;""),ROUND(MAX(0,(I129-H129)*24-IF((I129-H129)*24&gt;=6,1,0)),2),IF(E129="△",4,0)),0)</f>
        <v/>
      </c>
    </row>
    <row r="130">
      <c r="A130" s="72" t="n">
        <v>46140</v>
      </c>
      <c r="B130" t="inlineStr">
        <is>
          <t>EMP004</t>
        </is>
      </c>
      <c r="C130" t="inlineStr">
        <is>
          <t>中原裟也茄</t>
        </is>
      </c>
      <c r="E130" t="inlineStr">
        <is>
          <t>○</t>
        </is>
      </c>
      <c r="F130" t="inlineStr">
        <is>
          <t>C</t>
        </is>
      </c>
      <c r="G130" t="inlineStr">
        <is>
          <t>四山海岸高潮対策工事</t>
        </is>
      </c>
      <c r="H130" s="73" t="n">
        <v>0.3361111111111111</v>
      </c>
      <c r="I130" s="73" t="n">
        <v>0.7236111111111111</v>
      </c>
      <c r="J130" t="n">
        <v>0.28</v>
      </c>
      <c r="K130" t="n">
        <v>0</v>
      </c>
      <c r="M130" s="111">
        <f>IFERROR(IF(AND(H130&lt;&gt;"",I130&lt;&gt;""),ROUND(MAX(0,(I130-H130)*24-IF((I130-H130)*24&gt;=6,1,0)),2),IF(E130="△",4,0)),0)</f>
        <v/>
      </c>
    </row>
    <row r="131">
      <c r="A131" s="72" t="n">
        <v>46140</v>
      </c>
      <c r="B131" t="inlineStr">
        <is>
          <t>EMP003</t>
        </is>
      </c>
      <c r="C131" t="inlineStr">
        <is>
          <t>有田忍</t>
        </is>
      </c>
      <c r="E131" t="inlineStr">
        <is>
          <t>○</t>
        </is>
      </c>
      <c r="F131" t="inlineStr">
        <is>
          <t>B</t>
        </is>
      </c>
      <c r="G131" t="inlineStr">
        <is>
          <t>健老町道路排水施設工事</t>
        </is>
      </c>
      <c r="H131" s="73" t="n">
        <v>0.3125</v>
      </c>
      <c r="I131" s="73" t="n">
        <v>0.7298611111111111</v>
      </c>
      <c r="J131" t="n">
        <v>1.02</v>
      </c>
      <c r="K131" t="n">
        <v>0</v>
      </c>
      <c r="M131" s="111">
        <f>IFERROR(IF(AND(H131&lt;&gt;"",I131&lt;&gt;""),ROUND(MAX(0,(I131-H131)*24-IF((I131-H131)*24&gt;=6,1,0)),2),IF(E131="△",4,0)),0)</f>
        <v/>
      </c>
    </row>
    <row r="132">
      <c r="A132" s="72" t="n">
        <v>46140</v>
      </c>
      <c r="B132" t="inlineStr">
        <is>
          <t>EMP009</t>
        </is>
      </c>
      <c r="C132" t="inlineStr">
        <is>
          <t>ヨザ</t>
        </is>
      </c>
      <c r="E132" t="inlineStr">
        <is>
          <t>○</t>
        </is>
      </c>
      <c r="F132" t="inlineStr">
        <is>
          <t>B</t>
        </is>
      </c>
      <c r="G132" t="inlineStr">
        <is>
          <t>健老町道路排水施設工事</t>
        </is>
      </c>
      <c r="H132" s="73" t="n">
        <v>0.3090277777777778</v>
      </c>
      <c r="I132" s="73" t="n">
        <v>0.7208333333333333</v>
      </c>
      <c r="J132" t="n">
        <v>0.88</v>
      </c>
      <c r="K132" t="n">
        <v>0</v>
      </c>
      <c r="M132" s="111">
        <f>IFERROR(IF(AND(H132&lt;&gt;"",I132&lt;&gt;""),ROUND(MAX(0,(I132-H132)*24-IF((I132-H132)*24&gt;=6,1,0)),2),IF(E132="△",4,0)),0)</f>
        <v/>
      </c>
    </row>
    <row r="133">
      <c r="A133" s="72" t="n">
        <v>46140</v>
      </c>
      <c r="B133" t="inlineStr">
        <is>
          <t>EMP008</t>
        </is>
      </c>
      <c r="C133" t="inlineStr">
        <is>
          <t>アルフィ</t>
        </is>
      </c>
      <c r="E133" t="inlineStr">
        <is>
          <t>○</t>
        </is>
      </c>
      <c r="F133" t="inlineStr">
        <is>
          <t>B</t>
        </is>
      </c>
      <c r="G133" t="inlineStr">
        <is>
          <t>健老町道路排水施設工事</t>
        </is>
      </c>
      <c r="H133" s="73" t="n">
        <v>0.3131944444444444</v>
      </c>
      <c r="I133" s="73" t="n">
        <v>0.71875</v>
      </c>
      <c r="J133" t="n">
        <v>0.73</v>
      </c>
      <c r="K133" t="n">
        <v>0</v>
      </c>
      <c r="M133" s="111">
        <f>IFERROR(IF(AND(H133&lt;&gt;"",I133&lt;&gt;""),ROUND(MAX(0,(I133-H133)*24-IF((I133-H133)*24&gt;=6,1,0)),2),IF(E133="△",4,0)),0)</f>
        <v/>
      </c>
    </row>
    <row r="134">
      <c r="A134" s="72" t="n">
        <v>46140</v>
      </c>
      <c r="B134" t="inlineStr">
        <is>
          <t>EMP010</t>
        </is>
      </c>
      <c r="C134" t="inlineStr">
        <is>
          <t>リズキ</t>
        </is>
      </c>
      <c r="E134" t="inlineStr">
        <is>
          <t>○</t>
        </is>
      </c>
      <c r="F134" t="inlineStr">
        <is>
          <t>B</t>
        </is>
      </c>
      <c r="G134" t="inlineStr">
        <is>
          <t>健老町道路排水施設工事</t>
        </is>
      </c>
      <c r="H134" s="73" t="n">
        <v>0.3097222222222222</v>
      </c>
      <c r="I134" s="73" t="n">
        <v>0.7340277777777777</v>
      </c>
      <c r="J134" t="n">
        <v>1.17</v>
      </c>
      <c r="K134" t="n">
        <v>0</v>
      </c>
      <c r="M134" s="111">
        <f>IFERROR(IF(AND(H134&lt;&gt;"",I134&lt;&gt;""),ROUND(MAX(0,(I134-H134)*24-IF((I134-H134)*24&gt;=6,1,0)),2),IF(E134="△",4,0)),0)</f>
        <v/>
      </c>
    </row>
    <row r="135">
      <c r="A135" s="72" t="n">
        <v>46140</v>
      </c>
      <c r="B135" t="inlineStr">
        <is>
          <t>EMP011</t>
        </is>
      </c>
      <c r="C135" t="inlineStr">
        <is>
          <t>ディマス</t>
        </is>
      </c>
      <c r="E135" t="inlineStr">
        <is>
          <t>○</t>
        </is>
      </c>
      <c r="F135" t="inlineStr">
        <is>
          <t>B</t>
        </is>
      </c>
      <c r="G135" t="inlineStr">
        <is>
          <t>健老町道路排水施設工事</t>
        </is>
      </c>
      <c r="H135" s="73" t="n">
        <v>0.3090277777777778</v>
      </c>
      <c r="I135" s="73" t="n">
        <v>0.7215277777777778</v>
      </c>
      <c r="J135" t="n">
        <v>0.9</v>
      </c>
      <c r="K135" t="n">
        <v>0</v>
      </c>
      <c r="M135" s="111">
        <f>IFERROR(IF(AND(H135&lt;&gt;"",I135&lt;&gt;""),ROUND(MAX(0,(I135-H135)*24-IF((I135-H135)*24&gt;=6,1,0)),2),IF(E135="△",4,0)),0)</f>
        <v/>
      </c>
    </row>
    <row r="136">
      <c r="A136" s="72" t="n">
        <v>46141</v>
      </c>
      <c r="C136" t="inlineStr">
        <is>
          <t>宮川正利</t>
        </is>
      </c>
      <c r="E136" t="inlineStr">
        <is>
          <t>○</t>
        </is>
      </c>
      <c r="F136" t="inlineStr">
        <is>
          <t>B</t>
        </is>
      </c>
      <c r="G136" t="inlineStr">
        <is>
          <t>健老町道路排水施設工事</t>
        </is>
      </c>
      <c r="H136" s="73" t="n">
        <v>0.31875</v>
      </c>
      <c r="I136" s="73" t="n">
        <v>0.73125</v>
      </c>
      <c r="J136" t="n">
        <v>0.9</v>
      </c>
      <c r="K136" t="n">
        <v>0</v>
      </c>
      <c r="M136" s="111">
        <f>IFERROR(IF(AND(H136&lt;&gt;"",I136&lt;&gt;""),ROUND(MAX(0,(I136-H136)*24-IF((I136-H136)*24&gt;=6,1,0)),2),IF(E136="△",4,0)),0)</f>
        <v/>
      </c>
    </row>
    <row r="137">
      <c r="A137" s="72" t="n">
        <v>46141</v>
      </c>
      <c r="B137" t="inlineStr">
        <is>
          <t>EMP002</t>
        </is>
      </c>
      <c r="C137" t="inlineStr">
        <is>
          <t>中原義範</t>
        </is>
      </c>
      <c r="E137" t="inlineStr">
        <is>
          <t>○</t>
        </is>
      </c>
      <c r="F137" t="inlineStr">
        <is>
          <t>C</t>
        </is>
      </c>
      <c r="G137" t="inlineStr">
        <is>
          <t>四山海岸高潮対策工事</t>
        </is>
      </c>
      <c r="H137" s="73" t="n">
        <v>0.3305555555555555</v>
      </c>
      <c r="I137" s="73" t="n">
        <v>0.7347222222222223</v>
      </c>
      <c r="J137" t="n">
        <v>0.7</v>
      </c>
      <c r="K137" t="n">
        <v>0</v>
      </c>
      <c r="M137" s="111">
        <f>IFERROR(IF(AND(H137&lt;&gt;"",I137&lt;&gt;""),ROUND(MAX(0,(I137-H137)*24-IF((I137-H137)*24&gt;=6,1,0)),2),IF(E137="△",4,0)),0)</f>
        <v/>
      </c>
    </row>
    <row r="138">
      <c r="A138" s="72" t="n">
        <v>46141</v>
      </c>
      <c r="B138" t="inlineStr">
        <is>
          <t>EMP004</t>
        </is>
      </c>
      <c r="C138" t="inlineStr">
        <is>
          <t>中原裟也茄</t>
        </is>
      </c>
      <c r="E138" t="inlineStr">
        <is>
          <t>○</t>
        </is>
      </c>
      <c r="F138" t="inlineStr">
        <is>
          <t>C</t>
        </is>
      </c>
      <c r="G138" t="inlineStr">
        <is>
          <t>四山海岸高潮対策工事</t>
        </is>
      </c>
      <c r="H138" s="73" t="n">
        <v>0.3333333333333333</v>
      </c>
      <c r="I138" s="73" t="n">
        <v>0.71875</v>
      </c>
      <c r="J138" t="n">
        <v>0.25</v>
      </c>
      <c r="K138" t="n">
        <v>0</v>
      </c>
      <c r="M138" s="111">
        <f>IFERROR(IF(AND(H138&lt;&gt;"",I138&lt;&gt;""),ROUND(MAX(0,(I138-H138)*24-IF((I138-H138)*24&gt;=6,1,0)),2),IF(E138="△",4,0)),0)</f>
        <v/>
      </c>
    </row>
    <row r="139">
      <c r="A139" s="72" t="n">
        <v>46141</v>
      </c>
      <c r="B139" t="inlineStr">
        <is>
          <t>EMP007</t>
        </is>
      </c>
      <c r="C139" t="inlineStr">
        <is>
          <t>中原宏</t>
        </is>
      </c>
      <c r="E139" t="inlineStr">
        <is>
          <t>○</t>
        </is>
      </c>
      <c r="F139" t="inlineStr">
        <is>
          <t>C</t>
        </is>
      </c>
      <c r="G139" t="inlineStr">
        <is>
          <t>四山海岸高潮対策工事</t>
        </is>
      </c>
      <c r="H139" s="73" t="n">
        <v>0.3333333333333333</v>
      </c>
      <c r="I139" s="73" t="n">
        <v>0.7083333333333334</v>
      </c>
      <c r="J139" t="n">
        <v>0</v>
      </c>
      <c r="K139" t="n">
        <v>0</v>
      </c>
      <c r="M139" s="111">
        <f>IFERROR(IF(AND(H139&lt;&gt;"",I139&lt;&gt;""),ROUND(MAX(0,(I139-H139)*24-IF((I139-H139)*24&gt;=6,1,0)),2),IF(E139="△",4,0)),0)</f>
        <v/>
      </c>
    </row>
    <row r="140">
      <c r="A140" s="72" t="n">
        <v>46141</v>
      </c>
      <c r="B140" t="inlineStr">
        <is>
          <t>EMP003</t>
        </is>
      </c>
      <c r="C140" t="inlineStr">
        <is>
          <t>有田忍</t>
        </is>
      </c>
      <c r="E140" t="inlineStr">
        <is>
          <t>○</t>
        </is>
      </c>
      <c r="F140" t="inlineStr">
        <is>
          <t>B</t>
        </is>
      </c>
      <c r="G140" t="inlineStr">
        <is>
          <t>健老町道路排水施設工事</t>
        </is>
      </c>
      <c r="H140" s="73" t="n">
        <v>0.3125</v>
      </c>
      <c r="I140" s="73" t="n">
        <v>0.7979166666666667</v>
      </c>
      <c r="J140" t="n">
        <v>2.65</v>
      </c>
      <c r="K140" t="n">
        <v>0</v>
      </c>
      <c r="M140" s="111">
        <f>IFERROR(IF(AND(H140&lt;&gt;"",I140&lt;&gt;""),ROUND(MAX(0,(I140-H140)*24-IF((I140-H140)*24&gt;=6,1,0)),2),IF(E140="△",4,0)),0)</f>
        <v/>
      </c>
    </row>
    <row r="141">
      <c r="A141" s="72" t="n">
        <v>46141</v>
      </c>
      <c r="B141" t="inlineStr">
        <is>
          <t>EMP009</t>
        </is>
      </c>
      <c r="C141" t="inlineStr">
        <is>
          <t>ヨザ</t>
        </is>
      </c>
      <c r="E141" t="inlineStr">
        <is>
          <t>○</t>
        </is>
      </c>
      <c r="F141" t="inlineStr">
        <is>
          <t>B</t>
        </is>
      </c>
      <c r="G141" t="inlineStr">
        <is>
          <t>健老町道路排水施設工事</t>
        </is>
      </c>
      <c r="H141" s="73" t="n">
        <v>0.3138888888888889</v>
      </c>
      <c r="I141" s="73" t="n">
        <v>0.7145833333333333</v>
      </c>
      <c r="J141" t="n">
        <v>0.6</v>
      </c>
      <c r="K141" t="n">
        <v>0</v>
      </c>
      <c r="M141" s="111">
        <f>IFERROR(IF(AND(H141&lt;&gt;"",I141&lt;&gt;""),ROUND(MAX(0,(I141-H141)*24-IF((I141-H141)*24&gt;=6,1,0)),2),IF(E141="△",4,0)),0)</f>
        <v/>
      </c>
    </row>
    <row r="142">
      <c r="A142" s="72" t="n">
        <v>46141</v>
      </c>
      <c r="B142" t="inlineStr">
        <is>
          <t>EMP008</t>
        </is>
      </c>
      <c r="C142" t="inlineStr">
        <is>
          <t>アルフィ</t>
        </is>
      </c>
      <c r="E142" t="inlineStr">
        <is>
          <t>○</t>
        </is>
      </c>
      <c r="F142" t="inlineStr">
        <is>
          <t>B</t>
        </is>
      </c>
      <c r="G142" t="inlineStr">
        <is>
          <t>健老町道路排水施設工事</t>
        </is>
      </c>
      <c r="H142" s="73" t="n">
        <v>0.3138888888888889</v>
      </c>
      <c r="I142" s="73" t="n">
        <v>0.7131944444444445</v>
      </c>
      <c r="J142" t="n">
        <v>0.57</v>
      </c>
      <c r="K142" t="n">
        <v>0</v>
      </c>
      <c r="M142" s="111">
        <f>IFERROR(IF(AND(H142&lt;&gt;"",I142&lt;&gt;""),ROUND(MAX(0,(I142-H142)*24-IF((I142-H142)*24&gt;=6,1,0)),2),IF(E142="△",4,0)),0)</f>
        <v/>
      </c>
    </row>
    <row r="143">
      <c r="A143" s="72" t="n">
        <v>46141</v>
      </c>
      <c r="B143" t="inlineStr">
        <is>
          <t>EMP010</t>
        </is>
      </c>
      <c r="C143" t="inlineStr">
        <is>
          <t>リズキ</t>
        </is>
      </c>
      <c r="E143" t="inlineStr">
        <is>
          <t>○</t>
        </is>
      </c>
      <c r="F143" t="inlineStr">
        <is>
          <t>C</t>
        </is>
      </c>
      <c r="G143" t="inlineStr">
        <is>
          <t>四山海岸高潮対策工事</t>
        </is>
      </c>
      <c r="H143" s="73" t="n">
        <v>0.2965277777777778</v>
      </c>
      <c r="I143" s="73" t="n">
        <v>0.7236111111111111</v>
      </c>
      <c r="J143" t="n">
        <v>1.23</v>
      </c>
      <c r="K143" t="n">
        <v>0</v>
      </c>
      <c r="M143" s="111">
        <f>IFERROR(IF(AND(H143&lt;&gt;"",I143&lt;&gt;""),ROUND(MAX(0,(I143-H143)*24-IF((I143-H143)*24&gt;=6,1,0)),2),IF(E143="△",4,0)),0)</f>
        <v/>
      </c>
    </row>
    <row r="144">
      <c r="A144" s="72" t="n">
        <v>46141</v>
      </c>
      <c r="B144" t="inlineStr">
        <is>
          <t>EMP011</t>
        </is>
      </c>
      <c r="C144" t="inlineStr">
        <is>
          <t>ディマス</t>
        </is>
      </c>
      <c r="E144" t="inlineStr">
        <is>
          <t>○</t>
        </is>
      </c>
      <c r="F144" t="inlineStr">
        <is>
          <t>B</t>
        </is>
      </c>
      <c r="G144" t="inlineStr">
        <is>
          <t>健老町道路排水施設工事</t>
        </is>
      </c>
      <c r="H144" s="73" t="n">
        <v>0.3152777777777778</v>
      </c>
      <c r="I144" s="73" t="n">
        <v>0.7118055555555556</v>
      </c>
      <c r="J144" t="n">
        <v>0.52</v>
      </c>
      <c r="K144" t="n">
        <v>0</v>
      </c>
      <c r="M144" s="111">
        <f>IFERROR(IF(AND(H144&lt;&gt;"",I144&lt;&gt;""),ROUND(MAX(0,(I144-H144)*24-IF((I144-H144)*24&gt;=6,1,0)),2),IF(E144="△",4,0)),0)</f>
        <v/>
      </c>
    </row>
    <row r="145">
      <c r="A145" s="72" t="n">
        <v>46142</v>
      </c>
      <c r="B145" t="inlineStr">
        <is>
          <t>EMP012</t>
        </is>
      </c>
      <c r="C145" t="inlineStr">
        <is>
          <t>山田ゆかり</t>
        </is>
      </c>
      <c r="E145" t="inlineStr">
        <is>
          <t>○</t>
        </is>
      </c>
      <c r="F145" t="inlineStr">
        <is>
          <t>A</t>
        </is>
      </c>
      <c r="G145" t="inlineStr">
        <is>
          <t>会社</t>
        </is>
      </c>
      <c r="H145" s="73" t="n">
        <v>0.3645833333333333</v>
      </c>
      <c r="I145" s="73" t="n">
        <v>0.7381944444444445</v>
      </c>
      <c r="J145" t="n">
        <v>0</v>
      </c>
      <c r="K145" t="n">
        <v>0</v>
      </c>
      <c r="M145" s="111">
        <f>IFERROR(IF(AND(H145&lt;&gt;"",I145&lt;&gt;""),ROUND(MAX(0,(I145-H145)*24-IF((I145-H145)*24&gt;=6,1,0)),2),IF(E145="△",4,0)),0)</f>
        <v/>
      </c>
    </row>
    <row r="146">
      <c r="A146" s="72" t="n">
        <v>46142</v>
      </c>
      <c r="B146" t="inlineStr">
        <is>
          <t>EMP016</t>
        </is>
      </c>
      <c r="C146" t="inlineStr">
        <is>
          <t>畑野浩次</t>
        </is>
      </c>
      <c r="E146" t="inlineStr">
        <is>
          <t>○</t>
        </is>
      </c>
      <c r="F146" t="inlineStr">
        <is>
          <t>A</t>
        </is>
      </c>
      <c r="G146" t="inlineStr">
        <is>
          <t>会社</t>
        </is>
      </c>
      <c r="H146" s="73" t="n">
        <v>0.3611111111111111</v>
      </c>
      <c r="I146" s="73" t="n">
        <v>0.7388888888888889</v>
      </c>
      <c r="J146" t="n">
        <v>0.07000000000000001</v>
      </c>
      <c r="K146" t="n">
        <v>0</v>
      </c>
      <c r="M146" s="111">
        <f>IFERROR(IF(AND(H146&lt;&gt;"",I146&lt;&gt;""),ROUND(MAX(0,(I146-H146)*24-IF((I146-H146)*24&gt;=6,1,0)),2),IF(E146="△",4,0)),0)</f>
        <v/>
      </c>
    </row>
    <row r="147">
      <c r="A147" s="72" t="n">
        <v>46142</v>
      </c>
      <c r="B147" t="inlineStr">
        <is>
          <t>EMP013</t>
        </is>
      </c>
      <c r="C147" t="inlineStr">
        <is>
          <t>菊川裕美</t>
        </is>
      </c>
      <c r="E147" t="inlineStr">
        <is>
          <t>○</t>
        </is>
      </c>
      <c r="F147" t="inlineStr">
        <is>
          <t>A</t>
        </is>
      </c>
      <c r="G147" t="inlineStr">
        <is>
          <t>会社</t>
        </is>
      </c>
      <c r="H147" s="73" t="n">
        <v>0.3673611111111111</v>
      </c>
      <c r="I147" s="73" t="n">
        <v>0.6256944444444444</v>
      </c>
      <c r="J147" t="n">
        <v>0</v>
      </c>
      <c r="K147" t="n">
        <v>0</v>
      </c>
      <c r="M147" s="111">
        <f>IFERROR(IF(AND(H147&lt;&gt;"",I147&lt;&gt;""),ROUND(MAX(0,(I147-H147)*24-IF((I147-H147)*24&gt;=6,1,0)),2),IF(E147="△",4,0)),0)</f>
        <v/>
      </c>
    </row>
    <row r="148">
      <c r="A148" s="72" t="n">
        <v>46142</v>
      </c>
      <c r="B148" t="inlineStr">
        <is>
          <t>EMP017</t>
        </is>
      </c>
      <c r="C148" t="inlineStr">
        <is>
          <t>濱津紀子</t>
        </is>
      </c>
      <c r="E148" t="inlineStr">
        <is>
          <t>○</t>
        </is>
      </c>
      <c r="F148" t="inlineStr">
        <is>
          <t>A</t>
        </is>
      </c>
      <c r="G148" t="inlineStr">
        <is>
          <t>会社</t>
        </is>
      </c>
      <c r="H148" s="73" t="n">
        <v>0.3673611111111111</v>
      </c>
      <c r="I148" s="73" t="n">
        <v>0.6270833333333333</v>
      </c>
      <c r="J148" t="n">
        <v>0</v>
      </c>
      <c r="K148" t="n">
        <v>0</v>
      </c>
      <c r="M148" s="111">
        <f>IFERROR(IF(AND(H148&lt;&gt;"",I148&lt;&gt;""),ROUND(MAX(0,(I148-H148)*24-IF((I148-H148)*24&gt;=6,1,0)),2),IF(E148="△",4,0)),0)</f>
        <v/>
      </c>
    </row>
    <row r="149">
      <c r="M149" s="111">
        <f>IFERROR(IF(AND(H149&lt;&gt;"",I149&lt;&gt;""),ROUND(MAX(0,(I149-H149)*24-IF((I149-H149)*24&gt;=6,1,0)),2),IF(E149="△",4,0)),0)</f>
        <v/>
      </c>
    </row>
    <row r="150">
      <c r="M150" s="111">
        <f>IFERROR(IF(AND(H150&lt;&gt;"",I150&lt;&gt;""),ROUND(MAX(0,(I150-H150)*24-IF((I150-H150)*24&gt;=6,1,0)),2),IF(E150="△",4,0)),0)</f>
        <v/>
      </c>
    </row>
    <row r="151">
      <c r="M151" s="111">
        <f>IFERROR(IF(AND(H151&lt;&gt;"",I151&lt;&gt;""),ROUND(MAX(0,(I151-H151)*24-IF((I151-H151)*24&gt;=6,1,0)),2),IF(E151="△",4,0)),0)</f>
        <v/>
      </c>
    </row>
    <row r="152">
      <c r="M152" s="111">
        <f>IFERROR(IF(AND(H152&lt;&gt;"",I152&lt;&gt;""),ROUND(MAX(0,(I152-H152)*24-IF((I152-H152)*24&gt;=6,1,0)),2),IF(E152="△",4,0)),0)</f>
        <v/>
      </c>
    </row>
    <row r="153">
      <c r="M153" s="111">
        <f>IFERROR(IF(AND(H153&lt;&gt;"",I153&lt;&gt;""),ROUND(MAX(0,(I153-H153)*24-IF((I153-H153)*24&gt;=6,1,0)),2),IF(E153="△",4,0)),0)</f>
        <v/>
      </c>
    </row>
    <row r="154">
      <c r="M154" s="111">
        <f>IFERROR(IF(AND(H154&lt;&gt;"",I154&lt;&gt;""),ROUND(MAX(0,(I154-H154)*24-IF((I154-H154)*24&gt;=6,1,0)),2),IF(E154="△",4,0)),0)</f>
        <v/>
      </c>
    </row>
    <row r="155">
      <c r="M155" s="111">
        <f>IFERROR(IF(AND(H155&lt;&gt;"",I155&lt;&gt;""),ROUND(MAX(0,(I155-H155)*24-IF((I155-H155)*24&gt;=6,1,0)),2),IF(E155="△",4,0)),0)</f>
        <v/>
      </c>
    </row>
    <row r="156">
      <c r="M156" s="111">
        <f>IFERROR(IF(AND(H156&lt;&gt;"",I156&lt;&gt;""),ROUND(MAX(0,(I156-H156)*24-IF((I156-H156)*24&gt;=6,1,0)),2),IF(E156="△",4,0)),0)</f>
        <v/>
      </c>
    </row>
    <row r="157">
      <c r="M157" s="111">
        <f>IFERROR(IF(AND(H157&lt;&gt;"",I157&lt;&gt;""),ROUND(MAX(0,(I157-H157)*24-IF((I157-H157)*24&gt;=6,1,0)),2),IF(E157="△",4,0)),0)</f>
        <v/>
      </c>
    </row>
    <row r="158">
      <c r="M158" s="111">
        <f>IFERROR(IF(AND(H158&lt;&gt;"",I158&lt;&gt;""),ROUND(MAX(0,(I158-H158)*24-IF((I158-H158)*24&gt;=6,1,0)),2),IF(E158="△",4,0)),0)</f>
        <v/>
      </c>
    </row>
    <row r="159">
      <c r="M159" s="111">
        <f>IFERROR(IF(AND(H159&lt;&gt;"",I159&lt;&gt;""),ROUND(MAX(0,(I159-H159)*24-IF((I159-H159)*24&gt;=6,1,0)),2),IF(E159="△",4,0)),0)</f>
        <v/>
      </c>
    </row>
    <row r="160">
      <c r="M160" s="111">
        <f>IFERROR(IF(AND(H160&lt;&gt;"",I160&lt;&gt;""),ROUND(MAX(0,(I160-H160)*24-IF((I160-H160)*24&gt;=6,1,0)),2),IF(E160="△",4,0)),0)</f>
        <v/>
      </c>
    </row>
    <row r="161">
      <c r="M161" s="111">
        <f>IFERROR(IF(AND(H161&lt;&gt;"",I161&lt;&gt;""),ROUND(MAX(0,(I161-H161)*24-IF((I161-H161)*24&gt;=6,1,0)),2),IF(E161="△",4,0)),0)</f>
        <v/>
      </c>
    </row>
    <row r="162">
      <c r="M162" s="111">
        <f>IFERROR(IF(AND(H162&lt;&gt;"",I162&lt;&gt;""),ROUND(MAX(0,(I162-H162)*24-IF((I162-H162)*24&gt;=6,1,0)),2),IF(E162="△",4,0)),0)</f>
        <v/>
      </c>
    </row>
    <row r="163">
      <c r="M163" s="111">
        <f>IFERROR(IF(AND(H163&lt;&gt;"",I163&lt;&gt;""),ROUND(MAX(0,(I163-H163)*24-IF((I163-H163)*24&gt;=6,1,0)),2),IF(E163="△",4,0)),0)</f>
        <v/>
      </c>
    </row>
    <row r="164">
      <c r="M164" s="111">
        <f>IFERROR(IF(AND(H164&lt;&gt;"",I164&lt;&gt;""),ROUND(MAX(0,(I164-H164)*24-IF((I164-H164)*24&gt;=6,1,0)),2),IF(E164="△",4,0)),0)</f>
        <v/>
      </c>
    </row>
    <row r="165">
      <c r="M165" s="111">
        <f>IFERROR(IF(AND(H165&lt;&gt;"",I165&lt;&gt;""),ROUND(MAX(0,(I165-H165)*24-IF((I165-H165)*24&gt;=6,1,0)),2),IF(E165="△",4,0)),0)</f>
        <v/>
      </c>
    </row>
    <row r="166">
      <c r="M166" s="111">
        <f>IFERROR(IF(AND(H166&lt;&gt;"",I166&lt;&gt;""),ROUND(MAX(0,(I166-H166)*24-IF((I166-H166)*24&gt;=6,1,0)),2),IF(E166="△",4,0)),0)</f>
        <v/>
      </c>
    </row>
    <row r="167">
      <c r="M167" s="111">
        <f>IFERROR(IF(AND(H167&lt;&gt;"",I167&lt;&gt;""),ROUND(MAX(0,(I167-H167)*24-IF((I167-H167)*24&gt;=6,1,0)),2),IF(E167="△",4,0)),0)</f>
        <v/>
      </c>
    </row>
    <row r="168">
      <c r="M168" s="111">
        <f>IFERROR(IF(AND(H168&lt;&gt;"",I168&lt;&gt;""),ROUND(MAX(0,(I168-H168)*24-IF((I168-H168)*24&gt;=6,1,0)),2),IF(E168="△",4,0)),0)</f>
        <v/>
      </c>
    </row>
    <row r="169">
      <c r="M169" s="111">
        <f>IFERROR(IF(AND(H169&lt;&gt;"",I169&lt;&gt;""),ROUND(MAX(0,(I169-H169)*24-IF((I169-H169)*24&gt;=6,1,0)),2),IF(E169="△",4,0)),0)</f>
        <v/>
      </c>
    </row>
    <row r="170">
      <c r="M170" s="111">
        <f>IFERROR(IF(AND(H170&lt;&gt;"",I170&lt;&gt;""),ROUND(MAX(0,(I170-H170)*24-IF((I170-H170)*24&gt;=6,1,0)),2),IF(E170="△",4,0)),0)</f>
        <v/>
      </c>
    </row>
    <row r="171">
      <c r="M171" s="111">
        <f>IFERROR(IF(AND(H171&lt;&gt;"",I171&lt;&gt;""),ROUND(MAX(0,(I171-H171)*24-IF((I171-H171)*24&gt;=6,1,0)),2),IF(E171="△",4,0)),0)</f>
        <v/>
      </c>
    </row>
    <row r="172">
      <c r="M172" s="111">
        <f>IFERROR(IF(AND(H172&lt;&gt;"",I172&lt;&gt;""),ROUND(MAX(0,(I172-H172)*24-IF((I172-H172)*24&gt;=6,1,0)),2),IF(E172="△",4,0)),0)</f>
        <v/>
      </c>
    </row>
    <row r="173">
      <c r="M173" s="111">
        <f>IFERROR(IF(AND(H173&lt;&gt;"",I173&lt;&gt;""),ROUND(MAX(0,(I173-H173)*24-IF((I173-H173)*24&gt;=6,1,0)),2),IF(E173="△",4,0)),0)</f>
        <v/>
      </c>
    </row>
    <row r="174">
      <c r="M174" s="111">
        <f>IFERROR(IF(AND(H174&lt;&gt;"",I174&lt;&gt;""),ROUND(MAX(0,(I174-H174)*24-IF((I174-H174)*24&gt;=6,1,0)),2),IF(E174="△",4,0)),0)</f>
        <v/>
      </c>
    </row>
    <row r="175">
      <c r="M175" s="111">
        <f>IFERROR(IF(AND(H175&lt;&gt;"",I175&lt;&gt;""),ROUND(MAX(0,(I175-H175)*24-IF((I175-H175)*24&gt;=6,1,0)),2),IF(E175="△",4,0)),0)</f>
        <v/>
      </c>
    </row>
    <row r="176">
      <c r="M176" s="111">
        <f>IFERROR(IF(AND(H176&lt;&gt;"",I176&lt;&gt;""),ROUND(MAX(0,(I176-H176)*24-IF((I176-H176)*24&gt;=6,1,0)),2),IF(E176="△",4,0)),0)</f>
        <v/>
      </c>
    </row>
    <row r="177">
      <c r="M177" s="111">
        <f>IFERROR(IF(AND(H177&lt;&gt;"",I177&lt;&gt;""),ROUND(MAX(0,(I177-H177)*24-IF((I177-H177)*24&gt;=6,1,0)),2),IF(E177="△",4,0)),0)</f>
        <v/>
      </c>
    </row>
    <row r="178">
      <c r="M178" s="111">
        <f>IFERROR(IF(AND(H178&lt;&gt;"",I178&lt;&gt;""),ROUND(MAX(0,(I178-H178)*24-IF((I178-H178)*24&gt;=6,1,0)),2),IF(E178="△",4,0)),0)</f>
        <v/>
      </c>
    </row>
    <row r="179">
      <c r="M179" s="111">
        <f>IFERROR(IF(AND(H179&lt;&gt;"",I179&lt;&gt;""),ROUND(MAX(0,(I179-H179)*24-IF((I179-H179)*24&gt;=6,1,0)),2),IF(E179="△",4,0)),0)</f>
        <v/>
      </c>
    </row>
    <row r="180">
      <c r="M180" s="111">
        <f>IFERROR(IF(AND(H180&lt;&gt;"",I180&lt;&gt;""),ROUND(MAX(0,(I180-H180)*24-IF((I180-H180)*24&gt;=6,1,0)),2),IF(E180="△",4,0)),0)</f>
        <v/>
      </c>
    </row>
    <row r="181">
      <c r="M181" s="111">
        <f>IFERROR(IF(AND(H181&lt;&gt;"",I181&lt;&gt;""),ROUND(MAX(0,(I181-H181)*24-IF((I181-H181)*24&gt;=6,1,0)),2),IF(E181="△",4,0)),0)</f>
        <v/>
      </c>
    </row>
    <row r="182">
      <c r="M182" s="111">
        <f>IFERROR(IF(AND(H182&lt;&gt;"",I182&lt;&gt;""),ROUND(MAX(0,(I182-H182)*24-IF((I182-H182)*24&gt;=6,1,0)),2),IF(E182="△",4,0)),0)</f>
        <v/>
      </c>
    </row>
    <row r="183">
      <c r="M183" s="111">
        <f>IFERROR(IF(AND(H183&lt;&gt;"",I183&lt;&gt;""),ROUND(MAX(0,(I183-H183)*24-IF((I183-H183)*24&gt;=6,1,0)),2),IF(E183="△",4,0)),0)</f>
        <v/>
      </c>
    </row>
    <row r="184">
      <c r="M184" s="111">
        <f>IFERROR(IF(AND(H184&lt;&gt;"",I184&lt;&gt;""),ROUND(MAX(0,(I184-H184)*24-IF((I184-H184)*24&gt;=6,1,0)),2),IF(E184="△",4,0)),0)</f>
        <v/>
      </c>
    </row>
    <row r="185">
      <c r="M185" s="111">
        <f>IFERROR(IF(AND(H185&lt;&gt;"",I185&lt;&gt;""),ROUND(MAX(0,(I185-H185)*24-IF((I185-H185)*24&gt;=6,1,0)),2),IF(E185="△",4,0)),0)</f>
        <v/>
      </c>
    </row>
    <row r="186">
      <c r="M186" s="111">
        <f>IFERROR(IF(AND(H186&lt;&gt;"",I186&lt;&gt;""),ROUND(MAX(0,(I186-H186)*24-IF((I186-H186)*24&gt;=6,1,0)),2),IF(E186="△",4,0)),0)</f>
        <v/>
      </c>
    </row>
    <row r="187">
      <c r="M187" s="111">
        <f>IFERROR(IF(AND(H187&lt;&gt;"",I187&lt;&gt;""),ROUND(MAX(0,(I187-H187)*24-IF((I187-H187)*24&gt;=6,1,0)),2),IF(E187="△",4,0)),0)</f>
        <v/>
      </c>
    </row>
    <row r="188">
      <c r="M188" s="111">
        <f>IFERROR(IF(AND(H188&lt;&gt;"",I188&lt;&gt;""),ROUND(MAX(0,(I188-H188)*24-IF((I188-H188)*24&gt;=6,1,0)),2),IF(E188="△",4,0)),0)</f>
        <v/>
      </c>
    </row>
    <row r="189">
      <c r="M189" s="111">
        <f>IFERROR(IF(AND(H189&lt;&gt;"",I189&lt;&gt;""),ROUND(MAX(0,(I189-H189)*24-IF((I189-H189)*24&gt;=6,1,0)),2),IF(E189="△",4,0)),0)</f>
        <v/>
      </c>
    </row>
    <row r="190">
      <c r="M190" s="111">
        <f>IFERROR(IF(AND(H190&lt;&gt;"",I190&lt;&gt;""),ROUND(MAX(0,(I190-H190)*24-IF((I190-H190)*24&gt;=6,1,0)),2),IF(E190="△",4,0)),0)</f>
        <v/>
      </c>
    </row>
    <row r="191">
      <c r="M191" s="111">
        <f>IFERROR(IF(AND(H191&lt;&gt;"",I191&lt;&gt;""),ROUND(MAX(0,(I191-H191)*24-IF((I191-H191)*24&gt;=6,1,0)),2),IF(E191="△",4,0)),0)</f>
        <v/>
      </c>
    </row>
    <row r="192">
      <c r="M192" s="111">
        <f>IFERROR(IF(AND(H192&lt;&gt;"",I192&lt;&gt;""),ROUND(MAX(0,(I192-H192)*24-IF((I192-H192)*24&gt;=6,1,0)),2),IF(E192="△",4,0)),0)</f>
        <v/>
      </c>
    </row>
    <row r="193">
      <c r="M193" s="111">
        <f>IFERROR(IF(AND(H193&lt;&gt;"",I193&lt;&gt;""),ROUND(MAX(0,(I193-H193)*24-IF((I193-H193)*24&gt;=6,1,0)),2),IF(E193="△",4,0)),0)</f>
        <v/>
      </c>
    </row>
    <row r="194">
      <c r="M194" s="111">
        <f>IFERROR(IF(AND(H194&lt;&gt;"",I194&lt;&gt;""),ROUND(MAX(0,(I194-H194)*24-IF((I194-H194)*24&gt;=6,1,0)),2),IF(E194="△",4,0)),0)</f>
        <v/>
      </c>
    </row>
    <row r="195">
      <c r="M195" s="111">
        <f>IFERROR(IF(AND(H195&lt;&gt;"",I195&lt;&gt;""),ROUND(MAX(0,(I195-H195)*24-IF((I195-H195)*24&gt;=6,1,0)),2),IF(E195="△",4,0)),0)</f>
        <v/>
      </c>
    </row>
    <row r="196">
      <c r="M196" s="111">
        <f>IFERROR(IF(AND(H196&lt;&gt;"",I196&lt;&gt;""),ROUND(MAX(0,(I196-H196)*24-IF((I196-H196)*24&gt;=6,1,0)),2),IF(E196="△",4,0)),0)</f>
        <v/>
      </c>
    </row>
    <row r="197">
      <c r="M197" s="111">
        <f>IFERROR(IF(AND(H197&lt;&gt;"",I197&lt;&gt;""),ROUND(MAX(0,(I197-H197)*24-IF((I197-H197)*24&gt;=6,1,0)),2),IF(E197="△",4,0)),0)</f>
        <v/>
      </c>
    </row>
    <row r="198">
      <c r="M198" s="111">
        <f>IFERROR(IF(AND(H198&lt;&gt;"",I198&lt;&gt;""),ROUND(MAX(0,(I198-H198)*24-IF((I198-H198)*24&gt;=6,1,0)),2),IF(E198="△",4,0)),0)</f>
        <v/>
      </c>
    </row>
    <row r="199">
      <c r="M199" s="111">
        <f>IFERROR(IF(AND(H199&lt;&gt;"",I199&lt;&gt;""),ROUND(MAX(0,(I199-H199)*24-IF((I199-H199)*24&gt;=6,1,0)),2),IF(E199="△",4,0)),0)</f>
        <v/>
      </c>
    </row>
    <row r="200">
      <c r="M200" s="111">
        <f>IFERROR(IF(AND(H200&lt;&gt;"",I200&lt;&gt;""),ROUND(MAX(0,(I200-H200)*24-IF((I200-H200)*24&gt;=6,1,0)),2),IF(E200="△",4,0)),0)</f>
        <v/>
      </c>
    </row>
    <row r="201">
      <c r="M201" s="111">
        <f>IFERROR(IF(AND(H201&lt;&gt;"",I201&lt;&gt;""),ROUND(MAX(0,(I201-H201)*24-IF((I201-H201)*24&gt;=6,1,0)),2),IF(E201="△",4,0)),0)</f>
        <v/>
      </c>
    </row>
    <row r="202">
      <c r="M202" s="111">
        <f>IFERROR(IF(AND(H202&lt;&gt;"",I202&lt;&gt;""),ROUND(MAX(0,(I202-H202)*24-IF((I202-H202)*24&gt;=6,1,0)),2),IF(E202="△",4,0)),0)</f>
        <v/>
      </c>
    </row>
    <row r="203">
      <c r="M203" s="111">
        <f>IFERROR(IF(AND(H203&lt;&gt;"",I203&lt;&gt;""),ROUND(MAX(0,(I203-H203)*24-IF((I203-H203)*24&gt;=6,1,0)),2),IF(E203="△",4,0)),0)</f>
        <v/>
      </c>
    </row>
    <row r="204">
      <c r="M204" s="111">
        <f>IFERROR(IF(AND(H204&lt;&gt;"",I204&lt;&gt;""),ROUND(MAX(0,(I204-H204)*24-IF((I204-H204)*24&gt;=6,1,0)),2),IF(E204="△",4,0)),0)</f>
        <v/>
      </c>
    </row>
    <row r="205">
      <c r="M205" s="111">
        <f>IFERROR(IF(AND(H205&lt;&gt;"",I205&lt;&gt;""),ROUND(MAX(0,(I205-H205)*24-IF((I205-H205)*24&gt;=6,1,0)),2),IF(E205="△",4,0)),0)</f>
        <v/>
      </c>
    </row>
    <row r="206">
      <c r="M206" s="111">
        <f>IFERROR(IF(AND(H206&lt;&gt;"",I206&lt;&gt;""),ROUND(MAX(0,(I206-H206)*24-IF((I206-H206)*24&gt;=6,1,0)),2),IF(E206="△",4,0)),0)</f>
        <v/>
      </c>
    </row>
    <row r="207">
      <c r="M207" s="111">
        <f>IFERROR(IF(AND(H207&lt;&gt;"",I207&lt;&gt;""),ROUND(MAX(0,(I207-H207)*24-IF((I207-H207)*24&gt;=6,1,0)),2),IF(E207="△",4,0)),0)</f>
        <v/>
      </c>
    </row>
    <row r="208">
      <c r="M208" s="111">
        <f>IFERROR(IF(AND(H208&lt;&gt;"",I208&lt;&gt;""),ROUND(MAX(0,(I208-H208)*24-IF((I208-H208)*24&gt;=6,1,0)),2),IF(E208="△",4,0)),0)</f>
        <v/>
      </c>
    </row>
    <row r="209">
      <c r="M209" s="111">
        <f>IFERROR(IF(AND(H209&lt;&gt;"",I209&lt;&gt;""),ROUND(MAX(0,(I209-H209)*24-IF((I209-H209)*24&gt;=6,1,0)),2),IF(E209="△",4,0)),0)</f>
        <v/>
      </c>
    </row>
    <row r="210">
      <c r="M210" s="111">
        <f>IFERROR(IF(AND(H210&lt;&gt;"",I210&lt;&gt;""),ROUND(MAX(0,(I210-H210)*24-IF((I210-H210)*24&gt;=6,1,0)),2),IF(E210="△",4,0)),0)</f>
        <v/>
      </c>
    </row>
    <row r="211">
      <c r="M211" s="111">
        <f>IFERROR(IF(AND(H211&lt;&gt;"",I211&lt;&gt;""),ROUND(MAX(0,(I211-H211)*24-IF((I211-H211)*24&gt;=6,1,0)),2),IF(E211="△",4,0)),0)</f>
        <v/>
      </c>
    </row>
    <row r="212">
      <c r="M212" s="111">
        <f>IFERROR(IF(AND(H212&lt;&gt;"",I212&lt;&gt;""),ROUND(MAX(0,(I212-H212)*24-IF((I212-H212)*24&gt;=6,1,0)),2),IF(E212="△",4,0)),0)</f>
        <v/>
      </c>
    </row>
    <row r="213">
      <c r="M213" s="111">
        <f>IFERROR(IF(AND(H213&lt;&gt;"",I213&lt;&gt;""),ROUND(MAX(0,(I213-H213)*24-IF((I213-H213)*24&gt;=6,1,0)),2),IF(E213="△",4,0)),0)</f>
        <v/>
      </c>
    </row>
    <row r="214">
      <c r="M214" s="111">
        <f>IFERROR(IF(AND(H214&lt;&gt;"",I214&lt;&gt;""),ROUND(MAX(0,(I214-H214)*24-IF((I214-H214)*24&gt;=6,1,0)),2),IF(E214="△",4,0)),0)</f>
        <v/>
      </c>
    </row>
    <row r="215">
      <c r="M215" s="111">
        <f>IFERROR(IF(AND(H215&lt;&gt;"",I215&lt;&gt;""),ROUND(MAX(0,(I215-H215)*24-IF((I215-H215)*24&gt;=6,1,0)),2),IF(E215="△",4,0)),0)</f>
        <v/>
      </c>
    </row>
    <row r="216">
      <c r="M216" s="111">
        <f>IFERROR(IF(AND(H216&lt;&gt;"",I216&lt;&gt;""),ROUND(MAX(0,(I216-H216)*24-IF((I216-H216)*24&gt;=6,1,0)),2),IF(E216="△",4,0)),0)</f>
        <v/>
      </c>
    </row>
    <row r="217">
      <c r="M217" s="111">
        <f>IFERROR(IF(AND(H217&lt;&gt;"",I217&lt;&gt;""),ROUND(MAX(0,(I217-H217)*24-IF((I217-H217)*24&gt;=6,1,0)),2),IF(E217="△",4,0)),0)</f>
        <v/>
      </c>
    </row>
    <row r="218">
      <c r="M218" s="111">
        <f>IFERROR(IF(AND(H218&lt;&gt;"",I218&lt;&gt;""),ROUND(MAX(0,(I218-H218)*24-IF((I218-H218)*24&gt;=6,1,0)),2),IF(E218="△",4,0)),0)</f>
        <v/>
      </c>
    </row>
    <row r="219">
      <c r="M219" s="111">
        <f>IFERROR(IF(AND(H219&lt;&gt;"",I219&lt;&gt;""),ROUND(MAX(0,(I219-H219)*24-IF((I219-H219)*24&gt;=6,1,0)),2),IF(E219="△",4,0)),0)</f>
        <v/>
      </c>
    </row>
    <row r="220">
      <c r="M220" s="111">
        <f>IFERROR(IF(AND(H220&lt;&gt;"",I220&lt;&gt;""),ROUND(MAX(0,(I220-H220)*24-IF((I220-H220)*24&gt;=6,1,0)),2),IF(E220="△",4,0)),0)</f>
        <v/>
      </c>
    </row>
    <row r="221">
      <c r="M221" s="111">
        <f>IFERROR(IF(AND(H221&lt;&gt;"",I221&lt;&gt;""),ROUND(MAX(0,(I221-H221)*24-IF((I221-H221)*24&gt;=6,1,0)),2),IF(E221="△",4,0)),0)</f>
        <v/>
      </c>
    </row>
    <row r="222">
      <c r="M222" s="111">
        <f>IFERROR(IF(AND(H222&lt;&gt;"",I222&lt;&gt;""),ROUND(MAX(0,(I222-H222)*24-IF((I222-H222)*24&gt;=6,1,0)),2),IF(E222="△",4,0)),0)</f>
        <v/>
      </c>
    </row>
    <row r="223">
      <c r="M223" s="111">
        <f>IFERROR(IF(AND(H223&lt;&gt;"",I223&lt;&gt;""),ROUND(MAX(0,(I223-H223)*24-IF((I223-H223)*24&gt;=6,1,0)),2),IF(E223="△",4,0)),0)</f>
        <v/>
      </c>
    </row>
    <row r="224">
      <c r="M224" s="111">
        <f>IFERROR(IF(AND(H224&lt;&gt;"",I224&lt;&gt;""),ROUND(MAX(0,(I224-H224)*24-IF((I224-H224)*24&gt;=6,1,0)),2),IF(E224="△",4,0)),0)</f>
        <v/>
      </c>
    </row>
    <row r="225">
      <c r="M225" s="111">
        <f>IFERROR(IF(AND(H225&lt;&gt;"",I225&lt;&gt;""),ROUND(MAX(0,(I225-H225)*24-IF((I225-H225)*24&gt;=6,1,0)),2),IF(E225="△",4,0)),0)</f>
        <v/>
      </c>
    </row>
    <row r="226">
      <c r="M226" s="111">
        <f>IFERROR(IF(AND(H226&lt;&gt;"",I226&lt;&gt;""),ROUND(MAX(0,(I226-H226)*24-IF((I226-H226)*24&gt;=6,1,0)),2),IF(E226="△",4,0)),0)</f>
        <v/>
      </c>
    </row>
    <row r="227">
      <c r="M227" s="111">
        <f>IFERROR(IF(AND(H227&lt;&gt;"",I227&lt;&gt;""),ROUND(MAX(0,(I227-H227)*24-IF((I227-H227)*24&gt;=6,1,0)),2),IF(E227="△",4,0)),0)</f>
        <v/>
      </c>
    </row>
    <row r="228">
      <c r="M228" s="111">
        <f>IFERROR(IF(AND(H228&lt;&gt;"",I228&lt;&gt;""),ROUND(MAX(0,(I228-H228)*24-IF((I228-H228)*24&gt;=6,1,0)),2),IF(E228="△",4,0)),0)</f>
        <v/>
      </c>
    </row>
    <row r="229">
      <c r="M229" s="111">
        <f>IFERROR(IF(AND(H229&lt;&gt;"",I229&lt;&gt;""),ROUND(MAX(0,(I229-H229)*24-IF((I229-H229)*24&gt;=6,1,0)),2),IF(E229="△",4,0)),0)</f>
        <v/>
      </c>
    </row>
    <row r="230">
      <c r="M230" s="111">
        <f>IFERROR(IF(AND(H230&lt;&gt;"",I230&lt;&gt;""),ROUND(MAX(0,(I230-H230)*24-IF((I230-H230)*24&gt;=6,1,0)),2),IF(E230="△",4,0)),0)</f>
        <v/>
      </c>
    </row>
    <row r="231">
      <c r="M231" s="111">
        <f>IFERROR(IF(AND(H231&lt;&gt;"",I231&lt;&gt;""),ROUND(MAX(0,(I231-H231)*24-IF((I231-H231)*24&gt;=6,1,0)),2),IF(E231="△",4,0)),0)</f>
        <v/>
      </c>
    </row>
    <row r="232">
      <c r="M232" s="111">
        <f>IFERROR(IF(AND(H232&lt;&gt;"",I232&lt;&gt;""),ROUND(MAX(0,(I232-H232)*24-IF((I232-H232)*24&gt;=6,1,0)),2),IF(E232="△",4,0)),0)</f>
        <v/>
      </c>
    </row>
    <row r="233">
      <c r="M233" s="111">
        <f>IFERROR(IF(AND(H233&lt;&gt;"",I233&lt;&gt;""),ROUND(MAX(0,(I233-H233)*24-IF((I233-H233)*24&gt;=6,1,0)),2),IF(E233="△",4,0)),0)</f>
        <v/>
      </c>
    </row>
    <row r="234">
      <c r="M234" s="111">
        <f>IFERROR(IF(AND(H234&lt;&gt;"",I234&lt;&gt;""),ROUND(MAX(0,(I234-H234)*24-IF((I234-H234)*24&gt;=6,1,0)),2),IF(E234="△",4,0)),0)</f>
        <v/>
      </c>
    </row>
    <row r="235">
      <c r="M235" s="111">
        <f>IFERROR(IF(AND(H235&lt;&gt;"",I235&lt;&gt;""),ROUND(MAX(0,(I235-H235)*24-IF((I235-H235)*24&gt;=6,1,0)),2),IF(E235="△",4,0)),0)</f>
        <v/>
      </c>
    </row>
    <row r="236">
      <c r="M236" s="111">
        <f>IFERROR(IF(AND(H236&lt;&gt;"",I236&lt;&gt;""),ROUND(MAX(0,(I236-H236)*24-IF((I236-H236)*24&gt;=6,1,0)),2),IF(E236="△",4,0)),0)</f>
        <v/>
      </c>
    </row>
    <row r="237">
      <c r="M237" s="111">
        <f>IFERROR(IF(AND(H237&lt;&gt;"",I237&lt;&gt;""),ROUND(MAX(0,(I237-H237)*24-IF((I237-H237)*24&gt;=6,1,0)),2),IF(E237="△",4,0)),0)</f>
        <v/>
      </c>
    </row>
    <row r="238">
      <c r="M238" s="111">
        <f>IFERROR(IF(AND(H238&lt;&gt;"",I238&lt;&gt;""),ROUND(MAX(0,(I238-H238)*24-IF((I238-H238)*24&gt;=6,1,0)),2),IF(E238="△",4,0)),0)</f>
        <v/>
      </c>
    </row>
    <row r="239">
      <c r="M239" s="111">
        <f>IFERROR(IF(AND(H239&lt;&gt;"",I239&lt;&gt;""),ROUND(MAX(0,(I239-H239)*24-IF((I239-H239)*24&gt;=6,1,0)),2),IF(E239="△",4,0)),0)</f>
        <v/>
      </c>
    </row>
    <row r="240">
      <c r="M240" s="111">
        <f>IFERROR(IF(AND(H240&lt;&gt;"",I240&lt;&gt;""),ROUND(MAX(0,(I240-H240)*24-IF((I240-H240)*24&gt;=6,1,0)),2),IF(E240="△",4,0)),0)</f>
        <v/>
      </c>
    </row>
    <row r="241">
      <c r="M241" s="111">
        <f>IFERROR(IF(AND(H241&lt;&gt;"",I241&lt;&gt;""),ROUND(MAX(0,(I241-H241)*24-IF((I241-H241)*24&gt;=6,1,0)),2),IF(E241="△",4,0)),0)</f>
        <v/>
      </c>
    </row>
    <row r="242">
      <c r="M242" s="111">
        <f>IFERROR(IF(AND(H242&lt;&gt;"",I242&lt;&gt;""),ROUND(MAX(0,(I242-H242)*24-IF((I242-H242)*24&gt;=6,1,0)),2),IF(E242="△",4,0)),0)</f>
        <v/>
      </c>
    </row>
    <row r="243">
      <c r="M243" s="111">
        <f>IFERROR(IF(AND(H243&lt;&gt;"",I243&lt;&gt;""),ROUND(MAX(0,(I243-H243)*24-IF((I243-H243)*24&gt;=6,1,0)),2),IF(E243="△",4,0)),0)</f>
        <v/>
      </c>
    </row>
    <row r="244">
      <c r="M244" s="111">
        <f>IFERROR(IF(AND(H244&lt;&gt;"",I244&lt;&gt;""),ROUND(MAX(0,(I244-H244)*24-IF((I244-H244)*24&gt;=6,1,0)),2),IF(E244="△",4,0)),0)</f>
        <v/>
      </c>
    </row>
    <row r="245">
      <c r="M245" s="111">
        <f>IFERROR(IF(AND(H245&lt;&gt;"",I245&lt;&gt;""),ROUND(MAX(0,(I245-H245)*24-IF((I245-H245)*24&gt;=6,1,0)),2),IF(E245="△",4,0)),0)</f>
        <v/>
      </c>
    </row>
    <row r="246">
      <c r="M246" s="111">
        <f>IFERROR(IF(AND(H246&lt;&gt;"",I246&lt;&gt;""),ROUND(MAX(0,(I246-H246)*24-IF((I246-H246)*24&gt;=6,1,0)),2),IF(E246="△",4,0)),0)</f>
        <v/>
      </c>
    </row>
    <row r="247">
      <c r="M247" s="111">
        <f>IFERROR(IF(AND(H247&lt;&gt;"",I247&lt;&gt;""),ROUND(MAX(0,(I247-H247)*24-IF((I247-H247)*24&gt;=6,1,0)),2),IF(E247="△",4,0)),0)</f>
        <v/>
      </c>
    </row>
    <row r="248">
      <c r="M248" s="111">
        <f>IFERROR(IF(AND(H248&lt;&gt;"",I248&lt;&gt;""),ROUND(MAX(0,(I248-H248)*24-IF((I248-H248)*24&gt;=6,1,0)),2),IF(E248="△",4,0)),0)</f>
        <v/>
      </c>
    </row>
    <row r="249">
      <c r="M249" s="111">
        <f>IFERROR(IF(AND(H249&lt;&gt;"",I249&lt;&gt;""),ROUND(MAX(0,(I249-H249)*24-IF((I249-H249)*24&gt;=6,1,0)),2),IF(E249="△",4,0)),0)</f>
        <v/>
      </c>
    </row>
    <row r="250">
      <c r="M250" s="111">
        <f>IFERROR(IF(AND(H250&lt;&gt;"",I250&lt;&gt;""),ROUND(MAX(0,(I250-H250)*24-IF((I250-H250)*24&gt;=6,1,0)),2),IF(E250="△",4,0)),0)</f>
        <v/>
      </c>
    </row>
    <row r="251">
      <c r="M251" s="111">
        <f>IFERROR(IF(AND(H251&lt;&gt;"",I251&lt;&gt;""),ROUND(MAX(0,(I251-H251)*24-IF((I251-H251)*24&gt;=6,1,0)),2),IF(E251="△",4,0)),0)</f>
        <v/>
      </c>
    </row>
    <row r="252">
      <c r="M252" s="111">
        <f>IFERROR(IF(AND(H252&lt;&gt;"",I252&lt;&gt;""),ROUND(MAX(0,(I252-H252)*24-IF((I252-H252)*24&gt;=6,1,0)),2),IF(E252="△",4,0)),0)</f>
        <v/>
      </c>
    </row>
    <row r="253">
      <c r="M253" s="111">
        <f>IFERROR(IF(AND(H253&lt;&gt;"",I253&lt;&gt;""),ROUND(MAX(0,(I253-H253)*24-IF((I253-H253)*24&gt;=6,1,0)),2),IF(E253="△",4,0)),0)</f>
        <v/>
      </c>
    </row>
    <row r="254">
      <c r="M254" s="111">
        <f>IFERROR(IF(AND(H254&lt;&gt;"",I254&lt;&gt;""),ROUND(MAX(0,(I254-H254)*24-IF((I254-H254)*24&gt;=6,1,0)),2),IF(E254="△",4,0)),0)</f>
        <v/>
      </c>
    </row>
    <row r="255">
      <c r="M255" s="111">
        <f>IFERROR(IF(AND(H255&lt;&gt;"",I255&lt;&gt;""),ROUND(MAX(0,(I255-H255)*24-IF((I255-H255)*24&gt;=6,1,0)),2),IF(E255="△",4,0)),0)</f>
        <v/>
      </c>
    </row>
    <row r="256">
      <c r="M256" s="111">
        <f>IFERROR(IF(AND(H256&lt;&gt;"",I256&lt;&gt;""),ROUND(MAX(0,(I256-H256)*24-IF((I256-H256)*24&gt;=6,1,0)),2),IF(E256="△",4,0)),0)</f>
        <v/>
      </c>
    </row>
    <row r="257">
      <c r="M257" s="111">
        <f>IFERROR(IF(AND(H257&lt;&gt;"",I257&lt;&gt;""),ROUND(MAX(0,(I257-H257)*24-IF((I257-H257)*24&gt;=6,1,0)),2),IF(E257="△",4,0)),0)</f>
        <v/>
      </c>
    </row>
    <row r="258">
      <c r="M258" s="111">
        <f>IFERROR(IF(AND(H258&lt;&gt;"",I258&lt;&gt;""),ROUND(MAX(0,(I258-H258)*24-IF((I258-H258)*24&gt;=6,1,0)),2),IF(E258="△",4,0)),0)</f>
        <v/>
      </c>
    </row>
    <row r="259">
      <c r="M259" s="111">
        <f>IFERROR(IF(AND(H259&lt;&gt;"",I259&lt;&gt;""),ROUND(MAX(0,(I259-H259)*24-IF((I259-H259)*24&gt;=6,1,0)),2),IF(E259="△",4,0)),0)</f>
        <v/>
      </c>
    </row>
    <row r="260">
      <c r="M260" s="111">
        <f>IFERROR(IF(AND(H260&lt;&gt;"",I260&lt;&gt;""),ROUND(MAX(0,(I260-H260)*24-IF((I260-H260)*24&gt;=6,1,0)),2),IF(E260="△",4,0)),0)</f>
        <v/>
      </c>
    </row>
    <row r="261">
      <c r="M261" s="111">
        <f>IFERROR(IF(AND(H261&lt;&gt;"",I261&lt;&gt;""),ROUND(MAX(0,(I261-H261)*24-IF((I261-H261)*24&gt;=6,1,0)),2),IF(E261="△",4,0)),0)</f>
        <v/>
      </c>
    </row>
    <row r="262">
      <c r="M262" s="111">
        <f>IFERROR(IF(AND(H262&lt;&gt;"",I262&lt;&gt;""),ROUND(MAX(0,(I262-H262)*24-IF((I262-H262)*24&gt;=6,1,0)),2),IF(E262="△",4,0)),0)</f>
        <v/>
      </c>
    </row>
    <row r="263">
      <c r="M263" s="111">
        <f>IFERROR(IF(AND(H263&lt;&gt;"",I263&lt;&gt;""),ROUND(MAX(0,(I263-H263)*24-IF((I263-H263)*24&gt;=6,1,0)),2),IF(E263="△",4,0)),0)</f>
        <v/>
      </c>
    </row>
    <row r="264">
      <c r="M264" s="111">
        <f>IFERROR(IF(AND(H264&lt;&gt;"",I264&lt;&gt;""),ROUND(MAX(0,(I264-H264)*24-IF((I264-H264)*24&gt;=6,1,0)),2),IF(E264="△",4,0)),0)</f>
        <v/>
      </c>
    </row>
    <row r="265">
      <c r="M265" s="111">
        <f>IFERROR(IF(AND(H265&lt;&gt;"",I265&lt;&gt;""),ROUND(MAX(0,(I265-H265)*24-IF((I265-H265)*24&gt;=6,1,0)),2),IF(E265="△",4,0)),0)</f>
        <v/>
      </c>
    </row>
    <row r="266">
      <c r="M266" s="111">
        <f>IFERROR(IF(AND(H266&lt;&gt;"",I266&lt;&gt;""),ROUND(MAX(0,(I266-H266)*24-IF((I266-H266)*24&gt;=6,1,0)),2),IF(E266="△",4,0)),0)</f>
        <v/>
      </c>
    </row>
    <row r="267">
      <c r="M267" s="111">
        <f>IFERROR(IF(AND(H267&lt;&gt;"",I267&lt;&gt;""),ROUND(MAX(0,(I267-H267)*24-IF((I267-H267)*24&gt;=6,1,0)),2),IF(E267="△",4,0)),0)</f>
        <v/>
      </c>
    </row>
  </sheetData>
  <mergeCells count="1">
    <mergeCell ref="A1:L1"/>
  </mergeCells>
  <dataValidations count="1">
    <dataValidation sqref="E3:E500" showDropDown="0" showInputMessage="0" showErrorMessage="0" allowBlank="1" type="list">
      <formula1>"○,△,出,有給,欠勤,休業"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6" sqref="H6"/>
    </sheetView>
  </sheetViews>
  <sheetFormatPr baseColWidth="8" defaultColWidth="8.6640625" defaultRowHeight="14.4"/>
  <cols>
    <col width="10" customWidth="1" min="1" max="1"/>
    <col width="18" customWidth="1" min="2" max="2"/>
    <col width="16.21875" bestFit="1" customWidth="1" min="3" max="3"/>
    <col width="8" customWidth="1" min="4" max="7"/>
    <col width="10" customWidth="1" min="8" max="9"/>
    <col width="8" customWidth="1" min="10" max="15"/>
    <col width="12" customWidth="1" min="16" max="19"/>
  </cols>
  <sheetData>
    <row r="1" ht="36" customHeight="1">
      <c r="A1" s="44" t="inlineStr">
        <is>
          <t>月次勤怠集計表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</row>
    <row r="2" ht="24" customHeight="1">
      <c r="A2" s="57" t="inlineStr">
        <is>
          <t>集計年月:</t>
        </is>
      </c>
      <c r="B2" s="112" t="n"/>
      <c r="C2" s="113">
        <f>DATE(E2,F2,1)</f>
        <v/>
      </c>
      <c r="D2" s="18" t="inlineStr">
        <is>
          <t>年:</t>
        </is>
      </c>
      <c r="E2" s="19" t="n">
        <v>2026</v>
      </c>
      <c r="F2" s="20" t="n">
        <v>4</v>
      </c>
      <c r="G2" s="21" t="inlineStr">
        <is>
          <t>月</t>
        </is>
      </c>
      <c r="H2" s="58" t="inlineStr">
        <is>
          <t>※ E2に年、F2に月を入力してください　　黄色セル=入力箇所</t>
        </is>
      </c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4" t="inlineStr">
        <is>
          <t>↓時給計算用（自動）</t>
        </is>
      </c>
    </row>
    <row r="3" ht="36" customHeight="1">
      <c r="A3" s="1" t="inlineStr">
        <is>
          <t>社員ID</t>
        </is>
      </c>
      <c r="B3" s="1" t="inlineStr">
        <is>
          <t>氏名</t>
        </is>
      </c>
      <c r="C3" s="1" t="inlineStr">
        <is>
          <t>出勤
日数</t>
        </is>
      </c>
      <c r="D3" s="1" t="inlineStr">
        <is>
          <t>半日
出勤</t>
        </is>
      </c>
      <c r="E3" s="1" t="inlineStr">
        <is>
          <t>有給
休暇</t>
        </is>
      </c>
      <c r="F3" s="1" t="inlineStr">
        <is>
          <t>休日
出勤</t>
        </is>
      </c>
      <c r="G3" s="1" t="inlineStr">
        <is>
          <t>欠勤
日数</t>
        </is>
      </c>
      <c r="H3" s="1" t="inlineStr">
        <is>
          <t>残業
時間(h)</t>
        </is>
      </c>
      <c r="I3" s="1" t="inlineStr">
        <is>
          <t>遅刻早退
時間(h)</t>
        </is>
      </c>
      <c r="J3" s="1" t="inlineStr">
        <is>
          <t>現場A</t>
        </is>
      </c>
      <c r="K3" s="1" t="inlineStr">
        <is>
          <t>現場B</t>
        </is>
      </c>
      <c r="L3" s="1" t="inlineStr">
        <is>
          <t>現場C</t>
        </is>
      </c>
      <c r="M3" s="1" t="inlineStr">
        <is>
          <t>現場D</t>
        </is>
      </c>
      <c r="N3" s="1" t="inlineStr">
        <is>
          <t>現場E</t>
        </is>
      </c>
      <c r="O3" s="1" t="inlineStr">
        <is>
          <t>現場F</t>
        </is>
      </c>
      <c r="P3" s="1" t="inlineStr">
        <is>
          <t>基本給</t>
        </is>
      </c>
      <c r="Q3" s="1" t="inlineStr">
        <is>
          <t>残業手当</t>
        </is>
      </c>
      <c r="R3" s="1" t="inlineStr">
        <is>
          <t>現場手当
等</t>
        </is>
      </c>
      <c r="S3" s="1" t="inlineStr">
        <is>
          <t>総支給</t>
        </is>
      </c>
      <c r="T3" s="110" t="inlineStr">
        <is>
          <t>実働時間
合計(h)
【時給計算用】</t>
        </is>
      </c>
    </row>
    <row r="4" ht="21.75" customHeight="1">
      <c r="A4" s="7" t="inlineStr">
        <is>
          <t>EMP001</t>
        </is>
      </c>
      <c r="B4" s="8">
        <f>IFERROR(VLOOKUP(A4,従業員マスタ!$A:$B,2,0),"")</f>
        <v/>
      </c>
      <c r="C4" s="22">
        <f>COUNTIFS(出退勤入力!$B:$B,A4,出退勤入力!$A:$A,"&gt;="&amp;DATE(月次集計!$E$2,月次集計!$F$2,1),出退勤入力!$A:$A,"&lt;="&amp;DATE(月次集計!$E$2,月次集計!$F$2+1,0),出退勤入力!$E:$E,"○")</f>
        <v/>
      </c>
      <c r="D4" s="22">
        <f>COUNTIFS(出退勤入力!$B:$B,A4,出退勤入力!$A:$A,"&gt;="&amp;DATE(月次集計!$E$2,月次集計!$F$2,1),出退勤入力!$A:$A,"&lt;="&amp;DATE(月次集計!$E$2,月次集計!$F$2+1,0),出退勤入力!$E:$E,"△")</f>
        <v/>
      </c>
      <c r="E4" s="22">
        <f>COUNTIFS(出退勤入力!$B:$B,A4,出退勤入力!$A:$A,"&gt;="&amp;DATE(月次集計!$E$2,月次集計!$F$2,1),出退勤入力!$A:$A,"&lt;="&amp;DATE(月次集計!$E$2,月次集計!$F$2+1,0),出退勤入力!$E:$E,"有給")</f>
        <v/>
      </c>
      <c r="F4" s="22">
        <f>COUNTIFS(出退勤入力!$B:$B,A4,出退勤入力!$A:$A,"&gt;="&amp;DATE(月次集計!$E$2,月次集計!$F$2,1),出退勤入力!$A:$A,"&lt;="&amp;DATE(月次集計!$E$2,月次集計!$F$2+1,0),出退勤入力!$E:$E,"出")</f>
        <v/>
      </c>
      <c r="G4" s="22">
        <f>COUNTIFS(出退勤入力!$B:$B,A4,出退勤入力!$A:$A,"&gt;="&amp;DATE(月次集計!$E$2,月次集計!$F$2,1),出退勤入力!$A:$A,"&lt;="&amp;DATE(月次集計!$E$2,月次集計!$F$2+1,0),出退勤入力!$E:$E,"欠勤")</f>
        <v/>
      </c>
      <c r="H4" s="115">
        <f>IFERROR(SUMIFS(出退勤入力!$J:$J,出退勤入力!$B:$B,A4,出退勤入力!$A:$A,"&gt;="&amp;DATE(月次集計!$E$2,月次集計!$F$2,1),出退勤入力!$A:$A,"&lt;="&amp;DATE(月次集計!$E$2,月次集計!$F$2+1,0)),0)</f>
        <v/>
      </c>
      <c r="I4" s="115">
        <f>IFERROR(SUMIFS(出退勤入力!$K:$K,出退勤入力!$B:$B,A4,出退勤入力!$A:$A,"&gt;="&amp;DATE(月次集計!$E$2,月次集計!$F$2,1),出退勤入力!$A:$A,"&lt;="&amp;DATE(月次集計!$E$2,月次集計!$F$2+1,0)),0)</f>
        <v/>
      </c>
      <c r="J4" s="22">
        <f>COUNTIFS(出退勤入力!$B:$B,A4,出退勤入力!$A:$A,"&gt;="&amp;DATE(月次集計!$E$2,月次集計!$F$2,1),出退勤入力!$A:$A,"&lt;="&amp;DATE(月次集計!$E$2,月次集計!$F$2+1,0),出退勤入力!$F:$F,"A")</f>
        <v/>
      </c>
      <c r="K4" s="22">
        <f>COUNTIFS(出退勤入力!$B:$B,A4,出退勤入力!$A:$A,"&gt;="&amp;DATE(月次集計!$E$2,月次集計!$F$2,1),出退勤入力!$A:$A,"&lt;="&amp;DATE(月次集計!$E$2,月次集計!$F$2+1,0),出退勤入力!$F:$F,"B")</f>
        <v/>
      </c>
      <c r="L4" s="22">
        <f>COUNTIFS(出退勤入力!$B:$B,A4,出退勤入力!$A:$A,"&gt;="&amp;DATE(月次集計!$E$2,月次集計!$F$2,1),出退勤入力!$A:$A,"&lt;="&amp;DATE(月次集計!$E$2,月次集計!$F$2+1,0),出退勤入力!$F:$F,"C")</f>
        <v/>
      </c>
      <c r="M4" s="22">
        <f>COUNTIFS(出退勤入力!$B:$B,A4,出退勤入力!$A:$A,"&gt;="&amp;DATE(月次集計!$E$2,月次集計!$F$2,1),出退勤入力!$A:$A,"&lt;="&amp;DATE(月次集計!$E$2,月次集計!$F$2+1,0),出退勤入力!$F:$F,"D")</f>
        <v/>
      </c>
      <c r="N4" s="22">
        <f>COUNTIFS(出退勤入力!$B:$B,A4,出退勤入力!$A:$A,"&gt;="&amp;DATE(月次集計!$E$2,月次集計!$F$2,1),出退勤入力!$A:$A,"&lt;="&amp;DATE(月次集計!$E$2,月次集計!$F$2+1,0),出退勤入力!$F:$F,"E")</f>
        <v/>
      </c>
      <c r="O4" s="22">
        <f>COUNTIFS(出退勤入力!$B:$B,A4,出退勤入力!$A:$A,"&gt;="&amp;DATE(月次集計!$E$2,月次集計!$F$2,1),出退勤入力!$A:$A,"&lt;="&amp;DATE(月次集計!$E$2,月次集計!$F$2+1,0),出退勤入力!$F:$F,"F")</f>
        <v/>
      </c>
      <c r="P4" s="10">
        <f>IFERROR(VLOOKUP(A4,従業員マスタ!$A:$F,6,0),0)</f>
        <v/>
      </c>
      <c r="Q4" s="10">
        <f>IFERROR(VLOOKUP(A4,従業員マスタ!$A:$G,7,0)*H4*1.25,0)</f>
        <v/>
      </c>
      <c r="R4" s="10" t="n">
        <v>0</v>
      </c>
      <c r="S4" s="10">
        <f>IFERROR(P4+Q4+R4,0)</f>
        <v/>
      </c>
      <c r="T4" s="116">
        <f>IFERROR(SUMIFS(出退勤入力!$M:$M,出退勤入力!$B:$B,A4,出退勤入力!$A:$A,"&gt;="&amp;DATE($E$2,$F$2,1),出退勤入力!$A:$A,"&lt;="&amp;DATE($E$2,$F$2+1,0)),0)</f>
        <v/>
      </c>
    </row>
    <row r="5" ht="21.75" customHeight="1">
      <c r="A5" s="2" t="inlineStr">
        <is>
          <t>EMP002</t>
        </is>
      </c>
      <c r="B5" s="3">
        <f>IFERROR(VLOOKUP(A5,従業員マスタ!$A:$B,2,0),"")</f>
        <v/>
      </c>
      <c r="C5" s="24">
        <f>COUNTIFS(出退勤入力!$B:$B,A5,出退勤入力!$A:$A,"&gt;="&amp;DATE(月次集計!$E$2,月次集計!$F$2,1),出退勤入力!$A:$A,"&lt;="&amp;DATE(月次集計!$E$2,月次集計!$F$2+1,0),出退勤入力!$E:$E,"○")</f>
        <v/>
      </c>
      <c r="D5" s="24">
        <f>COUNTIFS(出退勤入力!$B:$B,A5,出退勤入力!$A:$A,"&gt;="&amp;DATE(月次集計!$E$2,月次集計!$F$2,1),出退勤入力!$A:$A,"&lt;="&amp;DATE(月次集計!$E$2,月次集計!$F$2+1,0),出退勤入力!$E:$E,"△")</f>
        <v/>
      </c>
      <c r="E5" s="24">
        <f>COUNTIFS(出退勤入力!$B:$B,A5,出退勤入力!$A:$A,"&gt;="&amp;DATE(月次集計!$E$2,月次集計!$F$2,1),出退勤入力!$A:$A,"&lt;="&amp;DATE(月次集計!$E$2,月次集計!$F$2+1,0),出退勤入力!$E:$E,"有給")</f>
        <v/>
      </c>
      <c r="F5" s="24">
        <f>COUNTIFS(出退勤入力!$B:$B,A5,出退勤入力!$A:$A,"&gt;="&amp;DATE(月次集計!$E$2,月次集計!$F$2,1),出退勤入力!$A:$A,"&lt;="&amp;DATE(月次集計!$E$2,月次集計!$F$2+1,0),出退勤入力!$E:$E,"出")</f>
        <v/>
      </c>
      <c r="G5" s="24">
        <f>COUNTIFS(出退勤入力!$B:$B,A5,出退勤入力!$A:$A,"&gt;="&amp;DATE(月次集計!$E$2,月次集計!$F$2,1),出退勤入力!$A:$A,"&lt;="&amp;DATE(月次集計!$E$2,月次集計!$F$2+1,0),出退勤入力!$E:$E,"欠勤")</f>
        <v/>
      </c>
      <c r="H5" s="117">
        <f>IFERROR(SUMIFS(出退勤入力!$J:$J,出退勤入力!$B:$B,A5,出退勤入力!$A:$A,"&gt;="&amp;DATE(月次集計!$E$2,月次集計!$F$2,1),出退勤入力!$A:$A,"&lt;="&amp;DATE(月次集計!$E$2,月次集計!$F$2+1,0)),0)</f>
        <v/>
      </c>
      <c r="I5" s="117">
        <f>IFERROR(SUMIFS(出退勤入力!$K:$K,出退勤入力!$B:$B,A5,出退勤入力!$A:$A,"&gt;="&amp;DATE(月次集計!$E$2,月次集計!$F$2,1),出退勤入力!$A:$A,"&lt;="&amp;DATE(月次集計!$E$2,月次集計!$F$2+1,0)),0)</f>
        <v/>
      </c>
      <c r="J5" s="24">
        <f>COUNTIFS(出退勤入力!$B:$B,A5,出退勤入力!$A:$A,"&gt;="&amp;DATE(月次集計!$E$2,月次集計!$F$2,1),出退勤入力!$A:$A,"&lt;="&amp;DATE(月次集計!$E$2,月次集計!$F$2+1,0),出退勤入力!$F:$F,"A")</f>
        <v/>
      </c>
      <c r="K5" s="24">
        <f>COUNTIFS(出退勤入力!$B:$B,A5,出退勤入力!$A:$A,"&gt;="&amp;DATE(月次集計!$E$2,月次集計!$F$2,1),出退勤入力!$A:$A,"&lt;="&amp;DATE(月次集計!$E$2,月次集計!$F$2+1,0),出退勤入力!$F:$F,"B")</f>
        <v/>
      </c>
      <c r="L5" s="24">
        <f>COUNTIFS(出退勤入力!$B:$B,A5,出退勤入力!$A:$A,"&gt;="&amp;DATE(月次集計!$E$2,月次集計!$F$2,1),出退勤入力!$A:$A,"&lt;="&amp;DATE(月次集計!$E$2,月次集計!$F$2+1,0),出退勤入力!$F:$F,"C")</f>
        <v/>
      </c>
      <c r="M5" s="24">
        <f>COUNTIFS(出退勤入力!$B:$B,A5,出退勤入力!$A:$A,"&gt;="&amp;DATE(月次集計!$E$2,月次集計!$F$2,1),出退勤入力!$A:$A,"&lt;="&amp;DATE(月次集計!$E$2,月次集計!$F$2+1,0),出退勤入力!$F:$F,"D")</f>
        <v/>
      </c>
      <c r="N5" s="24">
        <f>COUNTIFS(出退勤入力!$B:$B,A5,出退勤入力!$A:$A,"&gt;="&amp;DATE(月次集計!$E$2,月次集計!$F$2,1),出退勤入力!$A:$A,"&lt;="&amp;DATE(月次集計!$E$2,月次集計!$F$2+1,0),出退勤入力!$F:$F,"E")</f>
        <v/>
      </c>
      <c r="O5" s="24">
        <f>COUNTIFS(出退勤入力!$B:$B,A5,出退勤入力!$A:$A,"&gt;="&amp;DATE(月次集計!$E$2,月次集計!$F$2,1),出退勤入力!$A:$A,"&lt;="&amp;DATE(月次集計!$E$2,月次集計!$F$2+1,0),出退勤入力!$F:$F,"F")</f>
        <v/>
      </c>
      <c r="P5" s="5">
        <f>IFERROR(VLOOKUP(A5,従業員マスタ!$A:$F,6,0),0)</f>
        <v/>
      </c>
      <c r="Q5" s="5">
        <f>IFERROR(VLOOKUP(A5,従業員マスタ!$A:$G,7,0)*H5*1.25,0)</f>
        <v/>
      </c>
      <c r="R5" s="5" t="n">
        <v>0</v>
      </c>
      <c r="S5" s="5">
        <f>IFERROR(P5+Q5+R5,0)</f>
        <v/>
      </c>
      <c r="T5" s="116">
        <f>IFERROR(SUMIFS(出退勤入力!$M:$M,出退勤入力!$B:$B,A5,出退勤入力!$A:$A,"&gt;="&amp;DATE($E$2,$F$2,1),出退勤入力!$A:$A,"&lt;="&amp;DATE($E$2,$F$2+1,0)),0)</f>
        <v/>
      </c>
    </row>
    <row r="6" ht="21.75" customHeight="1">
      <c r="A6" s="7" t="inlineStr">
        <is>
          <t>EMP003</t>
        </is>
      </c>
      <c r="B6" s="8">
        <f>IFERROR(VLOOKUP(A6,従業員マスタ!$A:$B,2,0),"")</f>
        <v/>
      </c>
      <c r="C6" s="22">
        <f>COUNTIFS(出退勤入力!$B:$B,A6,出退勤入力!$A:$A,"&gt;="&amp;DATE(月次集計!$E$2,月次集計!$F$2,1),出退勤入力!$A:$A,"&lt;="&amp;DATE(月次集計!$E$2,月次集計!$F$2+1,0),出退勤入力!$E:$E,"○")</f>
        <v/>
      </c>
      <c r="D6" s="22">
        <f>COUNTIFS(出退勤入力!$B:$B,A6,出退勤入力!$A:$A,"&gt;="&amp;DATE(月次集計!$E$2,月次集計!$F$2,1),出退勤入力!$A:$A,"&lt;="&amp;DATE(月次集計!$E$2,月次集計!$F$2+1,0),出退勤入力!$E:$E,"△")</f>
        <v/>
      </c>
      <c r="E6" s="22">
        <f>COUNTIFS(出退勤入力!$B:$B,A6,出退勤入力!$A:$A,"&gt;="&amp;DATE(月次集計!$E$2,月次集計!$F$2,1),出退勤入力!$A:$A,"&lt;="&amp;DATE(月次集計!$E$2,月次集計!$F$2+1,0),出退勤入力!$E:$E,"有給")</f>
        <v/>
      </c>
      <c r="F6" s="22">
        <f>COUNTIFS(出退勤入力!$B:$B,A6,出退勤入力!$A:$A,"&gt;="&amp;DATE(月次集計!$E$2,月次集計!$F$2,1),出退勤入力!$A:$A,"&lt;="&amp;DATE(月次集計!$E$2,月次集計!$F$2+1,0),出退勤入力!$E:$E,"出")</f>
        <v/>
      </c>
      <c r="G6" s="22">
        <f>COUNTIFS(出退勤入力!$B:$B,A6,出退勤入力!$A:$A,"&gt;="&amp;DATE(月次集計!$E$2,月次集計!$F$2,1),出退勤入力!$A:$A,"&lt;="&amp;DATE(月次集計!$E$2,月次集計!$F$2+1,0),出退勤入力!$E:$E,"欠勤")</f>
        <v/>
      </c>
      <c r="H6" s="115">
        <f>IFERROR(SUMIFS(出退勤入力!$J:$J,出退勤入力!$B:$B,A6,出退勤入力!$A:$A,"&gt;="&amp;DATE(月次集計!$E$2,月次集計!$F$2,1),出退勤入力!$A:$A,"&lt;="&amp;DATE(月次集計!$E$2,月次集計!$F$2+1,0)),0)</f>
        <v/>
      </c>
      <c r="I6" s="115">
        <f>IFERROR(SUMIFS(出退勤入力!$K:$K,出退勤入力!$B:$B,A6,出退勤入力!$A:$A,"&gt;="&amp;DATE(月次集計!$E$2,月次集計!$F$2,1),出退勤入力!$A:$A,"&lt;="&amp;DATE(月次集計!$E$2,月次集計!$F$2+1,0)),0)</f>
        <v/>
      </c>
      <c r="J6" s="22">
        <f>COUNTIFS(出退勤入力!$B:$B,A6,出退勤入力!$A:$A,"&gt;="&amp;DATE(月次集計!$E$2,月次集計!$F$2,1),出退勤入力!$A:$A,"&lt;="&amp;DATE(月次集計!$E$2,月次集計!$F$2+1,0),出退勤入力!$F:$F,"A")</f>
        <v/>
      </c>
      <c r="K6" s="22">
        <f>COUNTIFS(出退勤入力!$B:$B,A6,出退勤入力!$A:$A,"&gt;="&amp;DATE(月次集計!$E$2,月次集計!$F$2,1),出退勤入力!$A:$A,"&lt;="&amp;DATE(月次集計!$E$2,月次集計!$F$2+1,0),出退勤入力!$F:$F,"B")</f>
        <v/>
      </c>
      <c r="L6" s="22">
        <f>COUNTIFS(出退勤入力!$B:$B,A6,出退勤入力!$A:$A,"&gt;="&amp;DATE(月次集計!$E$2,月次集計!$F$2,1),出退勤入力!$A:$A,"&lt;="&amp;DATE(月次集計!$E$2,月次集計!$F$2+1,0),出退勤入力!$F:$F,"C")</f>
        <v/>
      </c>
      <c r="M6" s="22">
        <f>COUNTIFS(出退勤入力!$B:$B,A6,出退勤入力!$A:$A,"&gt;="&amp;DATE(月次集計!$E$2,月次集計!$F$2,1),出退勤入力!$A:$A,"&lt;="&amp;DATE(月次集計!$E$2,月次集計!$F$2+1,0),出退勤入力!$F:$F,"D")</f>
        <v/>
      </c>
      <c r="N6" s="22">
        <f>COUNTIFS(出退勤入力!$B:$B,A6,出退勤入力!$A:$A,"&gt;="&amp;DATE(月次集計!$E$2,月次集計!$F$2,1),出退勤入力!$A:$A,"&lt;="&amp;DATE(月次集計!$E$2,月次集計!$F$2+1,0),出退勤入力!$F:$F,"E")</f>
        <v/>
      </c>
      <c r="O6" s="22">
        <f>COUNTIFS(出退勤入力!$B:$B,A6,出退勤入力!$A:$A,"&gt;="&amp;DATE(月次集計!$E$2,月次集計!$F$2,1),出退勤入力!$A:$A,"&lt;="&amp;DATE(月次集計!$E$2,月次集計!$F$2+1,0),出退勤入力!$F:$F,"F")</f>
        <v/>
      </c>
      <c r="P6" s="10">
        <f>IFERROR(VLOOKUP(A6,従業員マスタ!$A:$F,6,0),0)</f>
        <v/>
      </c>
      <c r="Q6" s="10">
        <f>IFERROR(VLOOKUP(A6,従業員マスタ!$A:$G,7,0)*H6*1.25,0)</f>
        <v/>
      </c>
      <c r="R6" s="10" t="n">
        <v>0</v>
      </c>
      <c r="S6" s="10">
        <f>IFERROR(P6+Q6+R6,0)</f>
        <v/>
      </c>
      <c r="T6" s="116">
        <f>IFERROR(SUMIFS(出退勤入力!$M:$M,出退勤入力!$B:$B,A6,出退勤入力!$A:$A,"&gt;="&amp;DATE($E$2,$F$2,1),出退勤入力!$A:$A,"&lt;="&amp;DATE($E$2,$F$2+1,0)),0)</f>
        <v/>
      </c>
    </row>
    <row r="7" ht="21.75" customHeight="1">
      <c r="A7" s="2" t="inlineStr">
        <is>
          <t>EMP004</t>
        </is>
      </c>
      <c r="B7" s="3">
        <f>IFERROR(VLOOKUP(A7,従業員マスタ!$A:$B,2,0),"")</f>
        <v/>
      </c>
      <c r="C7" s="24">
        <f>COUNTIFS(出退勤入力!$B:$B,A7,出退勤入力!$A:$A,"&gt;="&amp;DATE(月次集計!$E$2,月次集計!$F$2,1),出退勤入力!$A:$A,"&lt;="&amp;DATE(月次集計!$E$2,月次集計!$F$2+1,0),出退勤入力!$E:$E,"○")</f>
        <v/>
      </c>
      <c r="D7" s="24">
        <f>COUNTIFS(出退勤入力!$B:$B,A7,出退勤入力!$A:$A,"&gt;="&amp;DATE(月次集計!$E$2,月次集計!$F$2,1),出退勤入力!$A:$A,"&lt;="&amp;DATE(月次集計!$E$2,月次集計!$F$2+1,0),出退勤入力!$E:$E,"△")</f>
        <v/>
      </c>
      <c r="E7" s="24">
        <f>COUNTIFS(出退勤入力!$B:$B,A7,出退勤入力!$A:$A,"&gt;="&amp;DATE(月次集計!$E$2,月次集計!$F$2,1),出退勤入力!$A:$A,"&lt;="&amp;DATE(月次集計!$E$2,月次集計!$F$2+1,0),出退勤入力!$E:$E,"有給")</f>
        <v/>
      </c>
      <c r="F7" s="24">
        <f>COUNTIFS(出退勤入力!$B:$B,A7,出退勤入力!$A:$A,"&gt;="&amp;DATE(月次集計!$E$2,月次集計!$F$2,1),出退勤入力!$A:$A,"&lt;="&amp;DATE(月次集計!$E$2,月次集計!$F$2+1,0),出退勤入力!$E:$E,"出")</f>
        <v/>
      </c>
      <c r="G7" s="24">
        <f>COUNTIFS(出退勤入力!$B:$B,A7,出退勤入力!$A:$A,"&gt;="&amp;DATE(月次集計!$E$2,月次集計!$F$2,1),出退勤入力!$A:$A,"&lt;="&amp;DATE(月次集計!$E$2,月次集計!$F$2+1,0),出退勤入力!$E:$E,"欠勤")</f>
        <v/>
      </c>
      <c r="H7" s="117">
        <f>IFERROR(SUMIFS(出退勤入力!$J:$J,出退勤入力!$B:$B,A7,出退勤入力!$A:$A,"&gt;="&amp;DATE(月次集計!$E$2,月次集計!$F$2,1),出退勤入力!$A:$A,"&lt;="&amp;DATE(月次集計!$E$2,月次集計!$F$2+1,0)),0)</f>
        <v/>
      </c>
      <c r="I7" s="117">
        <f>IFERROR(SUMIFS(出退勤入力!$K:$K,出退勤入力!$B:$B,A7,出退勤入力!$A:$A,"&gt;="&amp;DATE(月次集計!$E$2,月次集計!$F$2,1),出退勤入力!$A:$A,"&lt;="&amp;DATE(月次集計!$E$2,月次集計!$F$2+1,0)),0)</f>
        <v/>
      </c>
      <c r="J7" s="24">
        <f>COUNTIFS(出退勤入力!$B:$B,A7,出退勤入力!$A:$A,"&gt;="&amp;DATE(月次集計!$E$2,月次集計!$F$2,1),出退勤入力!$A:$A,"&lt;="&amp;DATE(月次集計!$E$2,月次集計!$F$2+1,0),出退勤入力!$F:$F,"A")</f>
        <v/>
      </c>
      <c r="K7" s="24">
        <f>COUNTIFS(出退勤入力!$B:$B,A7,出退勤入力!$A:$A,"&gt;="&amp;DATE(月次集計!$E$2,月次集計!$F$2,1),出退勤入力!$A:$A,"&lt;="&amp;DATE(月次集計!$E$2,月次集計!$F$2+1,0),出退勤入力!$F:$F,"B")</f>
        <v/>
      </c>
      <c r="L7" s="24">
        <f>COUNTIFS(出退勤入力!$B:$B,A7,出退勤入力!$A:$A,"&gt;="&amp;DATE(月次集計!$E$2,月次集計!$F$2,1),出退勤入力!$A:$A,"&lt;="&amp;DATE(月次集計!$E$2,月次集計!$F$2+1,0),出退勤入力!$F:$F,"C")</f>
        <v/>
      </c>
      <c r="M7" s="24">
        <f>COUNTIFS(出退勤入力!$B:$B,A7,出退勤入力!$A:$A,"&gt;="&amp;DATE(月次集計!$E$2,月次集計!$F$2,1),出退勤入力!$A:$A,"&lt;="&amp;DATE(月次集計!$E$2,月次集計!$F$2+1,0),出退勤入力!$F:$F,"D")</f>
        <v/>
      </c>
      <c r="N7" s="24">
        <f>COUNTIFS(出退勤入力!$B:$B,A7,出退勤入力!$A:$A,"&gt;="&amp;DATE(月次集計!$E$2,月次集計!$F$2,1),出退勤入力!$A:$A,"&lt;="&amp;DATE(月次集計!$E$2,月次集計!$F$2+1,0),出退勤入力!$F:$F,"E")</f>
        <v/>
      </c>
      <c r="O7" s="24">
        <f>COUNTIFS(出退勤入力!$B:$B,A7,出退勤入力!$A:$A,"&gt;="&amp;DATE(月次集計!$E$2,月次集計!$F$2,1),出退勤入力!$A:$A,"&lt;="&amp;DATE(月次集計!$E$2,月次集計!$F$2+1,0),出退勤入力!$F:$F,"F")</f>
        <v/>
      </c>
      <c r="P7" s="5">
        <f>IFERROR(VLOOKUP(A7,従業員マスタ!$A:$F,6,0),0)</f>
        <v/>
      </c>
      <c r="Q7" s="5">
        <f>IFERROR(VLOOKUP(A7,従業員マスタ!$A:$G,7,0)*H7*1.25,0)</f>
        <v/>
      </c>
      <c r="R7" s="5" t="n">
        <v>0</v>
      </c>
      <c r="S7" s="5">
        <f>IFERROR(P7+Q7+R7,0)</f>
        <v/>
      </c>
      <c r="T7" s="116">
        <f>IFERROR(SUMIFS(出退勤入力!$M:$M,出退勤入力!$B:$B,A7,出退勤入力!$A:$A,"&gt;="&amp;DATE($E$2,$F$2,1),出退勤入力!$A:$A,"&lt;="&amp;DATE($E$2,$F$2+1,0)),0)</f>
        <v/>
      </c>
    </row>
    <row r="8" ht="21.75" customHeight="1">
      <c r="A8" s="7" t="inlineStr">
        <is>
          <t>EMP006</t>
        </is>
      </c>
      <c r="B8" s="8">
        <f>IFERROR(VLOOKUP(A8,従業員マスタ!$A:$B,2,0),"")</f>
        <v/>
      </c>
      <c r="C8" s="22">
        <f>COUNTIFS(出退勤入力!$B:$B,A8,出退勤入力!$A:$A,"&gt;="&amp;DATE(月次集計!$E$2,月次集計!$F$2,1),出退勤入力!$A:$A,"&lt;="&amp;DATE(月次集計!$E$2,月次集計!$F$2+1,0),出退勤入力!$E:$E,"○")</f>
        <v/>
      </c>
      <c r="D8" s="22">
        <f>COUNTIFS(出退勤入力!$B:$B,A8,出退勤入力!$A:$A,"&gt;="&amp;DATE(月次集計!$E$2,月次集計!$F$2,1),出退勤入力!$A:$A,"&lt;="&amp;DATE(月次集計!$E$2,月次集計!$F$2+1,0),出退勤入力!$E:$E,"△")</f>
        <v/>
      </c>
      <c r="E8" s="22">
        <f>COUNTIFS(出退勤入力!$B:$B,A8,出退勤入力!$A:$A,"&gt;="&amp;DATE(月次集計!$E$2,月次集計!$F$2,1),出退勤入力!$A:$A,"&lt;="&amp;DATE(月次集計!$E$2,月次集計!$F$2+1,0),出退勤入力!$E:$E,"有給")</f>
        <v/>
      </c>
      <c r="F8" s="22">
        <f>COUNTIFS(出退勤入力!$B:$B,A8,出退勤入力!$A:$A,"&gt;="&amp;DATE(月次集計!$E$2,月次集計!$F$2,1),出退勤入力!$A:$A,"&lt;="&amp;DATE(月次集計!$E$2,月次集計!$F$2+1,0),出退勤入力!$E:$E,"出")</f>
        <v/>
      </c>
      <c r="G8" s="22">
        <f>COUNTIFS(出退勤入力!$B:$B,A8,出退勤入力!$A:$A,"&gt;="&amp;DATE(月次集計!$E$2,月次集計!$F$2,1),出退勤入力!$A:$A,"&lt;="&amp;DATE(月次集計!$E$2,月次集計!$F$2+1,0),出退勤入力!$E:$E,"欠勤")</f>
        <v/>
      </c>
      <c r="H8" s="115">
        <f>IFERROR(SUMIFS(出退勤入力!$J:$J,出退勤入力!$B:$B,A8,出退勤入力!$A:$A,"&gt;="&amp;DATE(月次集計!$E$2,月次集計!$F$2,1),出退勤入力!$A:$A,"&lt;="&amp;DATE(月次集計!$E$2,月次集計!$F$2+1,0)),0)</f>
        <v/>
      </c>
      <c r="I8" s="115">
        <f>IFERROR(SUMIFS(出退勤入力!$K:$K,出退勤入力!$B:$B,A8,出退勤入力!$A:$A,"&gt;="&amp;DATE(月次集計!$E$2,月次集計!$F$2,1),出退勤入力!$A:$A,"&lt;="&amp;DATE(月次集計!$E$2,月次集計!$F$2+1,0)),0)</f>
        <v/>
      </c>
      <c r="J8" s="22">
        <f>COUNTIFS(出退勤入力!$B:$B,A8,出退勤入力!$A:$A,"&gt;="&amp;DATE(月次集計!$E$2,月次集計!$F$2,1),出退勤入力!$A:$A,"&lt;="&amp;DATE(月次集計!$E$2,月次集計!$F$2+1,0),出退勤入力!$F:$F,"A")</f>
        <v/>
      </c>
      <c r="K8" s="22">
        <f>COUNTIFS(出退勤入力!$B:$B,A8,出退勤入力!$A:$A,"&gt;="&amp;DATE(月次集計!$E$2,月次集計!$F$2,1),出退勤入力!$A:$A,"&lt;="&amp;DATE(月次集計!$E$2,月次集計!$F$2+1,0),出退勤入力!$F:$F,"B")</f>
        <v/>
      </c>
      <c r="L8" s="22">
        <f>COUNTIFS(出退勤入力!$B:$B,A8,出退勤入力!$A:$A,"&gt;="&amp;DATE(月次集計!$E$2,月次集計!$F$2,1),出退勤入力!$A:$A,"&lt;="&amp;DATE(月次集計!$E$2,月次集計!$F$2+1,0),出退勤入力!$F:$F,"C")</f>
        <v/>
      </c>
      <c r="M8" s="22">
        <f>COUNTIFS(出退勤入力!$B:$B,A8,出退勤入力!$A:$A,"&gt;="&amp;DATE(月次集計!$E$2,月次集計!$F$2,1),出退勤入力!$A:$A,"&lt;="&amp;DATE(月次集計!$E$2,月次集計!$F$2+1,0),出退勤入力!$F:$F,"D")</f>
        <v/>
      </c>
      <c r="N8" s="22">
        <f>COUNTIFS(出退勤入力!$B:$B,A8,出退勤入力!$A:$A,"&gt;="&amp;DATE(月次集計!$E$2,月次集計!$F$2,1),出退勤入力!$A:$A,"&lt;="&amp;DATE(月次集計!$E$2,月次集計!$F$2+1,0),出退勤入力!$F:$F,"E")</f>
        <v/>
      </c>
      <c r="O8" s="22">
        <f>COUNTIFS(出退勤入力!$B:$B,A8,出退勤入力!$A:$A,"&gt;="&amp;DATE(月次集計!$E$2,月次集計!$F$2,1),出退勤入力!$A:$A,"&lt;="&amp;DATE(月次集計!$E$2,月次集計!$F$2+1,0),出退勤入力!$F:$F,"F")</f>
        <v/>
      </c>
      <c r="P8" s="10">
        <f>IFERROR(VLOOKUP(A8,従業員マスタ!$A:$F,6,0),0)</f>
        <v/>
      </c>
      <c r="Q8" s="10">
        <f>IFERROR(VLOOKUP(A8,従業員マスタ!$A:$G,7,0)*H8*1.25,0)</f>
        <v/>
      </c>
      <c r="R8" s="10" t="n">
        <v>0</v>
      </c>
      <c r="S8" s="10">
        <f>IFERROR(P8+Q8+R8,0)</f>
        <v/>
      </c>
      <c r="T8" s="116">
        <f>IFERROR(SUMIFS(出退勤入力!$M:$M,出退勤入力!$B:$B,A8,出退勤入力!$A:$A,"&gt;="&amp;DATE($E$2,$F$2,1),出退勤入力!$A:$A,"&lt;="&amp;DATE($E$2,$F$2+1,0)),0)</f>
        <v/>
      </c>
    </row>
    <row r="9" ht="21.75" customHeight="1">
      <c r="A9" s="2" t="inlineStr">
        <is>
          <t>EMP007</t>
        </is>
      </c>
      <c r="B9" s="3">
        <f>IFERROR(VLOOKUP(A9,従業員マスタ!$A:$B,2,0),"")</f>
        <v/>
      </c>
      <c r="C9" s="24">
        <f>COUNTIFS(出退勤入力!$B:$B,A9,出退勤入力!$A:$A,"&gt;="&amp;DATE(月次集計!$E$2,月次集計!$F$2,1),出退勤入力!$A:$A,"&lt;="&amp;DATE(月次集計!$E$2,月次集計!$F$2+1,0),出退勤入力!$E:$E,"○")</f>
        <v/>
      </c>
      <c r="D9" s="24">
        <f>COUNTIFS(出退勤入力!$B:$B,A9,出退勤入力!$A:$A,"&gt;="&amp;DATE(月次集計!$E$2,月次集計!$F$2,1),出退勤入力!$A:$A,"&lt;="&amp;DATE(月次集計!$E$2,月次集計!$F$2+1,0),出退勤入力!$E:$E,"△")</f>
        <v/>
      </c>
      <c r="E9" s="24">
        <f>COUNTIFS(出退勤入力!$B:$B,A9,出退勤入力!$A:$A,"&gt;="&amp;DATE(月次集計!$E$2,月次集計!$F$2,1),出退勤入力!$A:$A,"&lt;="&amp;DATE(月次集計!$E$2,月次集計!$F$2+1,0),出退勤入力!$E:$E,"有給")</f>
        <v/>
      </c>
      <c r="F9" s="24">
        <f>COUNTIFS(出退勤入力!$B:$B,A9,出退勤入力!$A:$A,"&gt;="&amp;DATE(月次集計!$E$2,月次集計!$F$2,1),出退勤入力!$A:$A,"&lt;="&amp;DATE(月次集計!$E$2,月次集計!$F$2+1,0),出退勤入力!$E:$E,"出")</f>
        <v/>
      </c>
      <c r="G9" s="24">
        <f>COUNTIFS(出退勤入力!$B:$B,A9,出退勤入力!$A:$A,"&gt;="&amp;DATE(月次集計!$E$2,月次集計!$F$2,1),出退勤入力!$A:$A,"&lt;="&amp;DATE(月次集計!$E$2,月次集計!$F$2+1,0),出退勤入力!$E:$E,"欠勤")</f>
        <v/>
      </c>
      <c r="H9" s="117">
        <f>IFERROR(SUMIFS(出退勤入力!$J:$J,出退勤入力!$B:$B,A9,出退勤入力!$A:$A,"&gt;="&amp;DATE(月次集計!$E$2,月次集計!$F$2,1),出退勤入力!$A:$A,"&lt;="&amp;DATE(月次集計!$E$2,月次集計!$F$2+1,0)),0)</f>
        <v/>
      </c>
      <c r="I9" s="117">
        <f>IFERROR(SUMIFS(出退勤入力!$K:$K,出退勤入力!$B:$B,A9,出退勤入力!$A:$A,"&gt;="&amp;DATE(月次集計!$E$2,月次集計!$F$2,1),出退勤入力!$A:$A,"&lt;="&amp;DATE(月次集計!$E$2,月次集計!$F$2+1,0)),0)</f>
        <v/>
      </c>
      <c r="J9" s="24">
        <f>COUNTIFS(出退勤入力!$B:$B,A9,出退勤入力!$A:$A,"&gt;="&amp;DATE(月次集計!$E$2,月次集計!$F$2,1),出退勤入力!$A:$A,"&lt;="&amp;DATE(月次集計!$E$2,月次集計!$F$2+1,0),出退勤入力!$F:$F,"A")</f>
        <v/>
      </c>
      <c r="K9" s="24">
        <f>COUNTIFS(出退勤入力!$B:$B,A9,出退勤入力!$A:$A,"&gt;="&amp;DATE(月次集計!$E$2,月次集計!$F$2,1),出退勤入力!$A:$A,"&lt;="&amp;DATE(月次集計!$E$2,月次集計!$F$2+1,0),出退勤入力!$F:$F,"B")</f>
        <v/>
      </c>
      <c r="L9" s="24">
        <f>COUNTIFS(出退勤入力!$B:$B,A9,出退勤入力!$A:$A,"&gt;="&amp;DATE(月次集計!$E$2,月次集計!$F$2,1),出退勤入力!$A:$A,"&lt;="&amp;DATE(月次集計!$E$2,月次集計!$F$2+1,0),出退勤入力!$F:$F,"C")</f>
        <v/>
      </c>
      <c r="M9" s="24">
        <f>COUNTIFS(出退勤入力!$B:$B,A9,出退勤入力!$A:$A,"&gt;="&amp;DATE(月次集計!$E$2,月次集計!$F$2,1),出退勤入力!$A:$A,"&lt;="&amp;DATE(月次集計!$E$2,月次集計!$F$2+1,0),出退勤入力!$F:$F,"D")</f>
        <v/>
      </c>
      <c r="N9" s="24">
        <f>COUNTIFS(出退勤入力!$B:$B,A9,出退勤入力!$A:$A,"&gt;="&amp;DATE(月次集計!$E$2,月次集計!$F$2,1),出退勤入力!$A:$A,"&lt;="&amp;DATE(月次集計!$E$2,月次集計!$F$2+1,0),出退勤入力!$F:$F,"E")</f>
        <v/>
      </c>
      <c r="O9" s="24">
        <f>COUNTIFS(出退勤入力!$B:$B,A9,出退勤入力!$A:$A,"&gt;="&amp;DATE(月次集計!$E$2,月次集計!$F$2,1),出退勤入力!$A:$A,"&lt;="&amp;DATE(月次集計!$E$2,月次集計!$F$2+1,0),出退勤入力!$F:$F,"F")</f>
        <v/>
      </c>
      <c r="P9" s="5">
        <f>IFERROR(VLOOKUP(A9,従業員マスタ!$A:$F,6,0),0)</f>
        <v/>
      </c>
      <c r="Q9" s="5">
        <f>IFERROR(VLOOKUP(A9,従業員マスタ!$A:$G,7,0)*H9*1.25,0)</f>
        <v/>
      </c>
      <c r="R9" s="5" t="n">
        <v>0</v>
      </c>
      <c r="S9" s="5">
        <f>IFERROR(P9+Q9+R9,0)</f>
        <v/>
      </c>
      <c r="T9" s="116">
        <f>IFERROR(SUMIFS(出退勤入力!$M:$M,出退勤入力!$B:$B,A9,出退勤入力!$A:$A,"&gt;="&amp;DATE($E$2,$F$2,1),出退勤入力!$A:$A,"&lt;="&amp;DATE($E$2,$F$2+1,0)),0)</f>
        <v/>
      </c>
    </row>
    <row r="10" ht="21.75" customHeight="1">
      <c r="A10" s="7" t="inlineStr">
        <is>
          <t>EMP008</t>
        </is>
      </c>
      <c r="B10" s="8">
        <f>IFERROR(VLOOKUP(A10,従業員マスタ!$A:$B,2,0),"")</f>
        <v/>
      </c>
      <c r="C10" s="22">
        <f>COUNTIFS(出退勤入力!$B:$B,A10,出退勤入力!$A:$A,"&gt;="&amp;DATE(月次集計!$E$2,月次集計!$F$2,1),出退勤入力!$A:$A,"&lt;="&amp;DATE(月次集計!$E$2,月次集計!$F$2+1,0),出退勤入力!$E:$E,"○")</f>
        <v/>
      </c>
      <c r="D10" s="22">
        <f>COUNTIFS(出退勤入力!$B:$B,A10,出退勤入力!$A:$A,"&gt;="&amp;DATE(月次集計!$E$2,月次集計!$F$2,1),出退勤入力!$A:$A,"&lt;="&amp;DATE(月次集計!$E$2,月次集計!$F$2+1,0),出退勤入力!$E:$E,"△")</f>
        <v/>
      </c>
      <c r="E10" s="22">
        <f>COUNTIFS(出退勤入力!$B:$B,A10,出退勤入力!$A:$A,"&gt;="&amp;DATE(月次集計!$E$2,月次集計!$F$2,1),出退勤入力!$A:$A,"&lt;="&amp;DATE(月次集計!$E$2,月次集計!$F$2+1,0),出退勤入力!$E:$E,"有給")</f>
        <v/>
      </c>
      <c r="F10" s="22">
        <f>COUNTIFS(出退勤入力!$B:$B,A10,出退勤入力!$A:$A,"&gt;="&amp;DATE(月次集計!$E$2,月次集計!$F$2,1),出退勤入力!$A:$A,"&lt;="&amp;DATE(月次集計!$E$2,月次集計!$F$2+1,0),出退勤入力!$E:$E,"出")</f>
        <v/>
      </c>
      <c r="G10" s="22">
        <f>COUNTIFS(出退勤入力!$B:$B,A10,出退勤入力!$A:$A,"&gt;="&amp;DATE(月次集計!$E$2,月次集計!$F$2,1),出退勤入力!$A:$A,"&lt;="&amp;DATE(月次集計!$E$2,月次集計!$F$2+1,0),出退勤入力!$E:$E,"欠勤")</f>
        <v/>
      </c>
      <c r="H10" s="115">
        <f>IFERROR(SUMIFS(出退勤入力!$J:$J,出退勤入力!$B:$B,A10,出退勤入力!$A:$A,"&gt;="&amp;DATE(月次集計!$E$2,月次集計!$F$2,1),出退勤入力!$A:$A,"&lt;="&amp;DATE(月次集計!$E$2,月次集計!$F$2+1,0)),0)</f>
        <v/>
      </c>
      <c r="I10" s="115">
        <f>IFERROR(SUMIFS(出退勤入力!$K:$K,出退勤入力!$B:$B,A10,出退勤入力!$A:$A,"&gt;="&amp;DATE(月次集計!$E$2,月次集計!$F$2,1),出退勤入力!$A:$A,"&lt;="&amp;DATE(月次集計!$E$2,月次集計!$F$2+1,0)),0)</f>
        <v/>
      </c>
      <c r="J10" s="22">
        <f>COUNTIFS(出退勤入力!$B:$B,A10,出退勤入力!$A:$A,"&gt;="&amp;DATE(月次集計!$E$2,月次集計!$F$2,1),出退勤入力!$A:$A,"&lt;="&amp;DATE(月次集計!$E$2,月次集計!$F$2+1,0),出退勤入力!$F:$F,"A")</f>
        <v/>
      </c>
      <c r="K10" s="22">
        <f>COUNTIFS(出退勤入力!$B:$B,A10,出退勤入力!$A:$A,"&gt;="&amp;DATE(月次集計!$E$2,月次集計!$F$2,1),出退勤入力!$A:$A,"&lt;="&amp;DATE(月次集計!$E$2,月次集計!$F$2+1,0),出退勤入力!$F:$F,"B")</f>
        <v/>
      </c>
      <c r="L10" s="22">
        <f>COUNTIFS(出退勤入力!$B:$B,A10,出退勤入力!$A:$A,"&gt;="&amp;DATE(月次集計!$E$2,月次集計!$F$2,1),出退勤入力!$A:$A,"&lt;="&amp;DATE(月次集計!$E$2,月次集計!$F$2+1,0),出退勤入力!$F:$F,"C")</f>
        <v/>
      </c>
      <c r="M10" s="22">
        <f>COUNTIFS(出退勤入力!$B:$B,A10,出退勤入力!$A:$A,"&gt;="&amp;DATE(月次集計!$E$2,月次集計!$F$2,1),出退勤入力!$A:$A,"&lt;="&amp;DATE(月次集計!$E$2,月次集計!$F$2+1,0),出退勤入力!$F:$F,"D")</f>
        <v/>
      </c>
      <c r="N10" s="22">
        <f>COUNTIFS(出退勤入力!$B:$B,A10,出退勤入力!$A:$A,"&gt;="&amp;DATE(月次集計!$E$2,月次集計!$F$2,1),出退勤入力!$A:$A,"&lt;="&amp;DATE(月次集計!$E$2,月次集計!$F$2+1,0),出退勤入力!$F:$F,"E")</f>
        <v/>
      </c>
      <c r="O10" s="22">
        <f>COUNTIFS(出退勤入力!$B:$B,A10,出退勤入力!$A:$A,"&gt;="&amp;DATE(月次集計!$E$2,月次集計!$F$2,1),出退勤入力!$A:$A,"&lt;="&amp;DATE(月次集計!$E$2,月次集計!$F$2+1,0),出退勤入力!$F:$F,"F")</f>
        <v/>
      </c>
      <c r="P10" s="10">
        <f>IFERROR(VLOOKUP(A10,従業員マスタ!$A:$F,6,0),0)</f>
        <v/>
      </c>
      <c r="Q10" s="10">
        <f>IFERROR(VLOOKUP(A10,従業員マスタ!$A:$G,7,0)*H10*1.25,0)</f>
        <v/>
      </c>
      <c r="R10" s="10" t="n">
        <v>0</v>
      </c>
      <c r="S10" s="10">
        <f>IFERROR(P10+Q10+R10,0)</f>
        <v/>
      </c>
      <c r="T10" s="116">
        <f>IFERROR(SUMIFS(出退勤入力!$M:$M,出退勤入力!$B:$B,A10,出退勤入力!$A:$A,"&gt;="&amp;DATE($E$2,$F$2,1),出退勤入力!$A:$A,"&lt;="&amp;DATE($E$2,$F$2+1,0)),0)</f>
        <v/>
      </c>
    </row>
    <row r="11" ht="21.75" customHeight="1">
      <c r="A11" s="2" t="inlineStr">
        <is>
          <t>EMP009</t>
        </is>
      </c>
      <c r="B11" s="3">
        <f>IFERROR(VLOOKUP(A11,従業員マスタ!$A:$B,2,0),"")</f>
        <v/>
      </c>
      <c r="C11" s="24">
        <f>COUNTIFS(出退勤入力!$B:$B,A11,出退勤入力!$A:$A,"&gt;="&amp;DATE(月次集計!$E$2,月次集計!$F$2,1),出退勤入力!$A:$A,"&lt;="&amp;DATE(月次集計!$E$2,月次集計!$F$2+1,0),出退勤入力!$E:$E,"○")</f>
        <v/>
      </c>
      <c r="D11" s="24">
        <f>COUNTIFS(出退勤入力!$B:$B,A11,出退勤入力!$A:$A,"&gt;="&amp;DATE(月次集計!$E$2,月次集計!$F$2,1),出退勤入力!$A:$A,"&lt;="&amp;DATE(月次集計!$E$2,月次集計!$F$2+1,0),出退勤入力!$E:$E,"△")</f>
        <v/>
      </c>
      <c r="E11" s="24">
        <f>COUNTIFS(出退勤入力!$B:$B,A11,出退勤入力!$A:$A,"&gt;="&amp;DATE(月次集計!$E$2,月次集計!$F$2,1),出退勤入力!$A:$A,"&lt;="&amp;DATE(月次集計!$E$2,月次集計!$F$2+1,0),出退勤入力!$E:$E,"有給")</f>
        <v/>
      </c>
      <c r="F11" s="24">
        <f>COUNTIFS(出退勤入力!$B:$B,A11,出退勤入力!$A:$A,"&gt;="&amp;DATE(月次集計!$E$2,月次集計!$F$2,1),出退勤入力!$A:$A,"&lt;="&amp;DATE(月次集計!$E$2,月次集計!$F$2+1,0),出退勤入力!$E:$E,"出")</f>
        <v/>
      </c>
      <c r="G11" s="24">
        <f>COUNTIFS(出退勤入力!$B:$B,A11,出退勤入力!$A:$A,"&gt;="&amp;DATE(月次集計!$E$2,月次集計!$F$2,1),出退勤入力!$A:$A,"&lt;="&amp;DATE(月次集計!$E$2,月次集計!$F$2+1,0),出退勤入力!$E:$E,"欠勤")</f>
        <v/>
      </c>
      <c r="H11" s="117">
        <f>IFERROR(SUMIFS(出退勤入力!$J:$J,出退勤入力!$B:$B,A11,出退勤入力!$A:$A,"&gt;="&amp;DATE(月次集計!$E$2,月次集計!$F$2,1),出退勤入力!$A:$A,"&lt;="&amp;DATE(月次集計!$E$2,月次集計!$F$2+1,0)),0)</f>
        <v/>
      </c>
      <c r="I11" s="117">
        <f>IFERROR(SUMIFS(出退勤入力!$K:$K,出退勤入力!$B:$B,A11,出退勤入力!$A:$A,"&gt;="&amp;DATE(月次集計!$E$2,月次集計!$F$2,1),出退勤入力!$A:$A,"&lt;="&amp;DATE(月次集計!$E$2,月次集計!$F$2+1,0)),0)</f>
        <v/>
      </c>
      <c r="J11" s="24">
        <f>COUNTIFS(出退勤入力!$B:$B,A11,出退勤入力!$A:$A,"&gt;="&amp;DATE(月次集計!$E$2,月次集計!$F$2,1),出退勤入力!$A:$A,"&lt;="&amp;DATE(月次集計!$E$2,月次集計!$F$2+1,0),出退勤入力!$F:$F,"A")</f>
        <v/>
      </c>
      <c r="K11" s="24">
        <f>COUNTIFS(出退勤入力!$B:$B,A11,出退勤入力!$A:$A,"&gt;="&amp;DATE(月次集計!$E$2,月次集計!$F$2,1),出退勤入力!$A:$A,"&lt;="&amp;DATE(月次集計!$E$2,月次集計!$F$2+1,0),出退勤入力!$F:$F,"B")</f>
        <v/>
      </c>
      <c r="L11" s="24">
        <f>COUNTIFS(出退勤入力!$B:$B,A11,出退勤入力!$A:$A,"&gt;="&amp;DATE(月次集計!$E$2,月次集計!$F$2,1),出退勤入力!$A:$A,"&lt;="&amp;DATE(月次集計!$E$2,月次集計!$F$2+1,0),出退勤入力!$F:$F,"C")</f>
        <v/>
      </c>
      <c r="M11" s="24">
        <f>COUNTIFS(出退勤入力!$B:$B,A11,出退勤入力!$A:$A,"&gt;="&amp;DATE(月次集計!$E$2,月次集計!$F$2,1),出退勤入力!$A:$A,"&lt;="&amp;DATE(月次集計!$E$2,月次集計!$F$2+1,0),出退勤入力!$F:$F,"D")</f>
        <v/>
      </c>
      <c r="N11" s="24">
        <f>COUNTIFS(出退勤入力!$B:$B,A11,出退勤入力!$A:$A,"&gt;="&amp;DATE(月次集計!$E$2,月次集計!$F$2,1),出退勤入力!$A:$A,"&lt;="&amp;DATE(月次集計!$E$2,月次集計!$F$2+1,0),出退勤入力!$F:$F,"E")</f>
        <v/>
      </c>
      <c r="O11" s="24">
        <f>COUNTIFS(出退勤入力!$B:$B,A11,出退勤入力!$A:$A,"&gt;="&amp;DATE(月次集計!$E$2,月次集計!$F$2,1),出退勤入力!$A:$A,"&lt;="&amp;DATE(月次集計!$E$2,月次集計!$F$2+1,0),出退勤入力!$F:$F,"F")</f>
        <v/>
      </c>
      <c r="P11" s="5">
        <f>IFERROR(VLOOKUP(A11,従業員マスタ!$A:$F,6,0),0)</f>
        <v/>
      </c>
      <c r="Q11" s="5">
        <f>IFERROR(VLOOKUP(A11,従業員マスタ!$A:$G,7,0)*H11*1.25,0)</f>
        <v/>
      </c>
      <c r="R11" s="5" t="n">
        <v>0</v>
      </c>
      <c r="S11" s="5">
        <f>IFERROR(P11+Q11+R11,0)</f>
        <v/>
      </c>
      <c r="T11" s="116">
        <f>IFERROR(SUMIFS(出退勤入力!$M:$M,出退勤入力!$B:$B,A11,出退勤入力!$A:$A,"&gt;="&amp;DATE($E$2,$F$2,1),出退勤入力!$A:$A,"&lt;="&amp;DATE($E$2,$F$2+1,0)),0)</f>
        <v/>
      </c>
    </row>
    <row r="12" ht="21.75" customHeight="1">
      <c r="A12" s="7" t="inlineStr">
        <is>
          <t>EMP010</t>
        </is>
      </c>
      <c r="B12" s="8">
        <f>IFERROR(VLOOKUP(A12,従業員マスタ!$A:$B,2,0),"")</f>
        <v/>
      </c>
      <c r="C12" s="22">
        <f>COUNTIFS(出退勤入力!$B:$B,A12,出退勤入力!$A:$A,"&gt;="&amp;DATE(月次集計!$E$2,月次集計!$F$2,1),出退勤入力!$A:$A,"&lt;="&amp;DATE(月次集計!$E$2,月次集計!$F$2+1,0),出退勤入力!$E:$E,"○")</f>
        <v/>
      </c>
      <c r="D12" s="22">
        <f>COUNTIFS(出退勤入力!$B:$B,A12,出退勤入力!$A:$A,"&gt;="&amp;DATE(月次集計!$E$2,月次集計!$F$2,1),出退勤入力!$A:$A,"&lt;="&amp;DATE(月次集計!$E$2,月次集計!$F$2+1,0),出退勤入力!$E:$E,"△")</f>
        <v/>
      </c>
      <c r="E12" s="22">
        <f>COUNTIFS(出退勤入力!$B:$B,A12,出退勤入力!$A:$A,"&gt;="&amp;DATE(月次集計!$E$2,月次集計!$F$2,1),出退勤入力!$A:$A,"&lt;="&amp;DATE(月次集計!$E$2,月次集計!$F$2+1,0),出退勤入力!$E:$E,"有給")</f>
        <v/>
      </c>
      <c r="F12" s="22">
        <f>COUNTIFS(出退勤入力!$B:$B,A12,出退勤入力!$A:$A,"&gt;="&amp;DATE(月次集計!$E$2,月次集計!$F$2,1),出退勤入力!$A:$A,"&lt;="&amp;DATE(月次集計!$E$2,月次集計!$F$2+1,0),出退勤入力!$E:$E,"出")</f>
        <v/>
      </c>
      <c r="G12" s="22">
        <f>COUNTIFS(出退勤入力!$B:$B,A12,出退勤入力!$A:$A,"&gt;="&amp;DATE(月次集計!$E$2,月次集計!$F$2,1),出退勤入力!$A:$A,"&lt;="&amp;DATE(月次集計!$E$2,月次集計!$F$2+1,0),出退勤入力!$E:$E,"欠勤")</f>
        <v/>
      </c>
      <c r="H12" s="115">
        <f>IFERROR(SUMIFS(出退勤入力!$J:$J,出退勤入力!$B:$B,A12,出退勤入力!$A:$A,"&gt;="&amp;DATE(月次集計!$E$2,月次集計!$F$2,1),出退勤入力!$A:$A,"&lt;="&amp;DATE(月次集計!$E$2,月次集計!$F$2+1,0)),0)</f>
        <v/>
      </c>
      <c r="I12" s="115">
        <f>IFERROR(SUMIFS(出退勤入力!$K:$K,出退勤入力!$B:$B,A12,出退勤入力!$A:$A,"&gt;="&amp;DATE(月次集計!$E$2,月次集計!$F$2,1),出退勤入力!$A:$A,"&lt;="&amp;DATE(月次集計!$E$2,月次集計!$F$2+1,0)),0)</f>
        <v/>
      </c>
      <c r="J12" s="22">
        <f>COUNTIFS(出退勤入力!$B:$B,A12,出退勤入力!$A:$A,"&gt;="&amp;DATE(月次集計!$E$2,月次集計!$F$2,1),出退勤入力!$A:$A,"&lt;="&amp;DATE(月次集計!$E$2,月次集計!$F$2+1,0),出退勤入力!$F:$F,"A")</f>
        <v/>
      </c>
      <c r="K12" s="22">
        <f>COUNTIFS(出退勤入力!$B:$B,A12,出退勤入力!$A:$A,"&gt;="&amp;DATE(月次集計!$E$2,月次集計!$F$2,1),出退勤入力!$A:$A,"&lt;="&amp;DATE(月次集計!$E$2,月次集計!$F$2+1,0),出退勤入力!$F:$F,"B")</f>
        <v/>
      </c>
      <c r="L12" s="22">
        <f>COUNTIFS(出退勤入力!$B:$B,A12,出退勤入力!$A:$A,"&gt;="&amp;DATE(月次集計!$E$2,月次集計!$F$2,1),出退勤入力!$A:$A,"&lt;="&amp;DATE(月次集計!$E$2,月次集計!$F$2+1,0),出退勤入力!$F:$F,"C")</f>
        <v/>
      </c>
      <c r="M12" s="22">
        <f>COUNTIFS(出退勤入力!$B:$B,A12,出退勤入力!$A:$A,"&gt;="&amp;DATE(月次集計!$E$2,月次集計!$F$2,1),出退勤入力!$A:$A,"&lt;="&amp;DATE(月次集計!$E$2,月次集計!$F$2+1,0),出退勤入力!$F:$F,"D")</f>
        <v/>
      </c>
      <c r="N12" s="22">
        <f>COUNTIFS(出退勤入力!$B:$B,A12,出退勤入力!$A:$A,"&gt;="&amp;DATE(月次集計!$E$2,月次集計!$F$2,1),出退勤入力!$A:$A,"&lt;="&amp;DATE(月次集計!$E$2,月次集計!$F$2+1,0),出退勤入力!$F:$F,"E")</f>
        <v/>
      </c>
      <c r="O12" s="22">
        <f>COUNTIFS(出退勤入力!$B:$B,A12,出退勤入力!$A:$A,"&gt;="&amp;DATE(月次集計!$E$2,月次集計!$F$2,1),出退勤入力!$A:$A,"&lt;="&amp;DATE(月次集計!$E$2,月次集計!$F$2+1,0),出退勤入力!$F:$F,"F")</f>
        <v/>
      </c>
      <c r="P12" s="10">
        <f>IFERROR(VLOOKUP(A12,従業員マスタ!$A:$F,6,0),0)</f>
        <v/>
      </c>
      <c r="Q12" s="10">
        <f>IFERROR(VLOOKUP(A12,従業員マスタ!$A:$G,7,0)*H12*1.25,0)</f>
        <v/>
      </c>
      <c r="R12" s="10" t="n">
        <v>0</v>
      </c>
      <c r="S12" s="10">
        <f>IFERROR(P12+Q12+R12,0)</f>
        <v/>
      </c>
      <c r="T12" s="116">
        <f>IFERROR(SUMIFS(出退勤入力!$M:$M,出退勤入力!$B:$B,A12,出退勤入力!$A:$A,"&gt;="&amp;DATE($E$2,$F$2,1),出退勤入力!$A:$A,"&lt;="&amp;DATE($E$2,$F$2+1,0)),0)</f>
        <v/>
      </c>
    </row>
    <row r="13" ht="21.75" customHeight="1">
      <c r="A13" s="2" t="inlineStr">
        <is>
          <t>EMP011</t>
        </is>
      </c>
      <c r="B13" s="3">
        <f>IFERROR(VLOOKUP(A13,従業員マスタ!$A:$B,2,0),"")</f>
        <v/>
      </c>
      <c r="C13" s="24">
        <f>COUNTIFS(出退勤入力!$B:$B,A13,出退勤入力!$A:$A,"&gt;="&amp;DATE(月次集計!$E$2,月次集計!$F$2,1),出退勤入力!$A:$A,"&lt;="&amp;DATE(月次集計!$E$2,月次集計!$F$2+1,0),出退勤入力!$E:$E,"○")</f>
        <v/>
      </c>
      <c r="D13" s="24">
        <f>COUNTIFS(出退勤入力!$B:$B,A13,出退勤入力!$A:$A,"&gt;="&amp;DATE(月次集計!$E$2,月次集計!$F$2,1),出退勤入力!$A:$A,"&lt;="&amp;DATE(月次集計!$E$2,月次集計!$F$2+1,0),出退勤入力!$E:$E,"△")</f>
        <v/>
      </c>
      <c r="E13" s="24">
        <f>COUNTIFS(出退勤入力!$B:$B,A13,出退勤入力!$A:$A,"&gt;="&amp;DATE(月次集計!$E$2,月次集計!$F$2,1),出退勤入力!$A:$A,"&lt;="&amp;DATE(月次集計!$E$2,月次集計!$F$2+1,0),出退勤入力!$E:$E,"有給")</f>
        <v/>
      </c>
      <c r="F13" s="24">
        <f>COUNTIFS(出退勤入力!$B:$B,A13,出退勤入力!$A:$A,"&gt;="&amp;DATE(月次集計!$E$2,月次集計!$F$2,1),出退勤入力!$A:$A,"&lt;="&amp;DATE(月次集計!$E$2,月次集計!$F$2+1,0),出退勤入力!$E:$E,"出")</f>
        <v/>
      </c>
      <c r="G13" s="24">
        <f>COUNTIFS(出退勤入力!$B:$B,A13,出退勤入力!$A:$A,"&gt;="&amp;DATE(月次集計!$E$2,月次集計!$F$2,1),出退勤入力!$A:$A,"&lt;="&amp;DATE(月次集計!$E$2,月次集計!$F$2+1,0),出退勤入力!$E:$E,"欠勤")</f>
        <v/>
      </c>
      <c r="H13" s="117">
        <f>IFERROR(SUMIFS(出退勤入力!$J:$J,出退勤入力!$B:$B,A13,出退勤入力!$A:$A,"&gt;="&amp;DATE(月次集計!$E$2,月次集計!$F$2,1),出退勤入力!$A:$A,"&lt;="&amp;DATE(月次集計!$E$2,月次集計!$F$2+1,0)),0)</f>
        <v/>
      </c>
      <c r="I13" s="117">
        <f>IFERROR(SUMIFS(出退勤入力!$K:$K,出退勤入力!$B:$B,A13,出退勤入力!$A:$A,"&gt;="&amp;DATE(月次集計!$E$2,月次集計!$F$2,1),出退勤入力!$A:$A,"&lt;="&amp;DATE(月次集計!$E$2,月次集計!$F$2+1,0)),0)</f>
        <v/>
      </c>
      <c r="J13" s="24">
        <f>COUNTIFS(出退勤入力!$B:$B,A13,出退勤入力!$A:$A,"&gt;="&amp;DATE(月次集計!$E$2,月次集計!$F$2,1),出退勤入力!$A:$A,"&lt;="&amp;DATE(月次集計!$E$2,月次集計!$F$2+1,0),出退勤入力!$F:$F,"A")</f>
        <v/>
      </c>
      <c r="K13" s="24">
        <f>COUNTIFS(出退勤入力!$B:$B,A13,出退勤入力!$A:$A,"&gt;="&amp;DATE(月次集計!$E$2,月次集計!$F$2,1),出退勤入力!$A:$A,"&lt;="&amp;DATE(月次集計!$E$2,月次集計!$F$2+1,0),出退勤入力!$F:$F,"B")</f>
        <v/>
      </c>
      <c r="L13" s="24">
        <f>COUNTIFS(出退勤入力!$B:$B,A13,出退勤入力!$A:$A,"&gt;="&amp;DATE(月次集計!$E$2,月次集計!$F$2,1),出退勤入力!$A:$A,"&lt;="&amp;DATE(月次集計!$E$2,月次集計!$F$2+1,0),出退勤入力!$F:$F,"C")</f>
        <v/>
      </c>
      <c r="M13" s="24">
        <f>COUNTIFS(出退勤入力!$B:$B,A13,出退勤入力!$A:$A,"&gt;="&amp;DATE(月次集計!$E$2,月次集計!$F$2,1),出退勤入力!$A:$A,"&lt;="&amp;DATE(月次集計!$E$2,月次集計!$F$2+1,0),出退勤入力!$F:$F,"D")</f>
        <v/>
      </c>
      <c r="N13" s="24">
        <f>COUNTIFS(出退勤入力!$B:$B,A13,出退勤入力!$A:$A,"&gt;="&amp;DATE(月次集計!$E$2,月次集計!$F$2,1),出退勤入力!$A:$A,"&lt;="&amp;DATE(月次集計!$E$2,月次集計!$F$2+1,0),出退勤入力!$F:$F,"E")</f>
        <v/>
      </c>
      <c r="O13" s="24">
        <f>COUNTIFS(出退勤入力!$B:$B,A13,出退勤入力!$A:$A,"&gt;="&amp;DATE(月次集計!$E$2,月次集計!$F$2,1),出退勤入力!$A:$A,"&lt;="&amp;DATE(月次集計!$E$2,月次集計!$F$2+1,0),出退勤入力!$F:$F,"F")</f>
        <v/>
      </c>
      <c r="P13" s="5">
        <f>IFERROR(VLOOKUP(A13,従業員マスタ!$A:$F,6,0),0)</f>
        <v/>
      </c>
      <c r="Q13" s="5">
        <f>IFERROR(VLOOKUP(A13,従業員マスタ!$A:$G,7,0)*H13*1.25,0)</f>
        <v/>
      </c>
      <c r="R13" s="5" t="n">
        <v>0</v>
      </c>
      <c r="S13" s="5">
        <f>IFERROR(P13+Q13+R13,0)</f>
        <v/>
      </c>
      <c r="T13" s="116">
        <f>IFERROR(SUMIFS(出退勤入力!$M:$M,出退勤入力!$B:$B,A13,出退勤入力!$A:$A,"&gt;="&amp;DATE($E$2,$F$2,1),出退勤入力!$A:$A,"&lt;="&amp;DATE($E$2,$F$2+1,0)),0)</f>
        <v/>
      </c>
    </row>
    <row r="14" ht="21.75" customHeight="1">
      <c r="A14" s="7" t="inlineStr">
        <is>
          <t>EMP012</t>
        </is>
      </c>
      <c r="B14" s="8">
        <f>IFERROR(VLOOKUP(A14,従業員マスタ!$A:$B,2,0),"")</f>
        <v/>
      </c>
      <c r="C14" s="22">
        <f>COUNTIFS(出退勤入力!$B:$B,A14,出退勤入力!$A:$A,"&gt;="&amp;DATE(月次集計!$E$2,月次集計!$F$2,1),出退勤入力!$A:$A,"&lt;="&amp;DATE(月次集計!$E$2,月次集計!$F$2+1,0),出退勤入力!$E:$E,"○")</f>
        <v/>
      </c>
      <c r="D14" s="22">
        <f>COUNTIFS(出退勤入力!$B:$B,A14,出退勤入力!$A:$A,"&gt;="&amp;DATE(月次集計!$E$2,月次集計!$F$2,1),出退勤入力!$A:$A,"&lt;="&amp;DATE(月次集計!$E$2,月次集計!$F$2+1,0),出退勤入力!$E:$E,"△")</f>
        <v/>
      </c>
      <c r="E14" s="22">
        <f>COUNTIFS(出退勤入力!$B:$B,A14,出退勤入力!$A:$A,"&gt;="&amp;DATE(月次集計!$E$2,月次集計!$F$2,1),出退勤入力!$A:$A,"&lt;="&amp;DATE(月次集計!$E$2,月次集計!$F$2+1,0),出退勤入力!$E:$E,"有給")</f>
        <v/>
      </c>
      <c r="F14" s="22">
        <f>COUNTIFS(出退勤入力!$B:$B,A14,出退勤入力!$A:$A,"&gt;="&amp;DATE(月次集計!$E$2,月次集計!$F$2,1),出退勤入力!$A:$A,"&lt;="&amp;DATE(月次集計!$E$2,月次集計!$F$2+1,0),出退勤入力!$E:$E,"出")</f>
        <v/>
      </c>
      <c r="G14" s="22">
        <f>COUNTIFS(出退勤入力!$B:$B,A14,出退勤入力!$A:$A,"&gt;="&amp;DATE(月次集計!$E$2,月次集計!$F$2,1),出退勤入力!$A:$A,"&lt;="&amp;DATE(月次集計!$E$2,月次集計!$F$2+1,0),出退勤入力!$E:$E,"欠勤")</f>
        <v/>
      </c>
      <c r="H14" s="115">
        <f>IFERROR(SUMIFS(出退勤入力!$J:$J,出退勤入力!$B:$B,A14,出退勤入力!$A:$A,"&gt;="&amp;DATE(月次集計!$E$2,月次集計!$F$2,1),出退勤入力!$A:$A,"&lt;="&amp;DATE(月次集計!$E$2,月次集計!$F$2+1,0)),0)</f>
        <v/>
      </c>
      <c r="I14" s="115">
        <f>IFERROR(SUMIFS(出退勤入力!$K:$K,出退勤入力!$B:$B,A14,出退勤入力!$A:$A,"&gt;="&amp;DATE(月次集計!$E$2,月次集計!$F$2,1),出退勤入力!$A:$A,"&lt;="&amp;DATE(月次集計!$E$2,月次集計!$F$2+1,0)),0)</f>
        <v/>
      </c>
      <c r="J14" s="22">
        <f>COUNTIFS(出退勤入力!$B:$B,A14,出退勤入力!$A:$A,"&gt;="&amp;DATE(月次集計!$E$2,月次集計!$F$2,1),出退勤入力!$A:$A,"&lt;="&amp;DATE(月次集計!$E$2,月次集計!$F$2+1,0),出退勤入力!$F:$F,"A")</f>
        <v/>
      </c>
      <c r="K14" s="22">
        <f>COUNTIFS(出退勤入力!$B:$B,A14,出退勤入力!$A:$A,"&gt;="&amp;DATE(月次集計!$E$2,月次集計!$F$2,1),出退勤入力!$A:$A,"&lt;="&amp;DATE(月次集計!$E$2,月次集計!$F$2+1,0),出退勤入力!$F:$F,"B")</f>
        <v/>
      </c>
      <c r="L14" s="22">
        <f>COUNTIFS(出退勤入力!$B:$B,A14,出退勤入力!$A:$A,"&gt;="&amp;DATE(月次集計!$E$2,月次集計!$F$2,1),出退勤入力!$A:$A,"&lt;="&amp;DATE(月次集計!$E$2,月次集計!$F$2+1,0),出退勤入力!$F:$F,"C")</f>
        <v/>
      </c>
      <c r="M14" s="22">
        <f>COUNTIFS(出退勤入力!$B:$B,A14,出退勤入力!$A:$A,"&gt;="&amp;DATE(月次集計!$E$2,月次集計!$F$2,1),出退勤入力!$A:$A,"&lt;="&amp;DATE(月次集計!$E$2,月次集計!$F$2+1,0),出退勤入力!$F:$F,"D")</f>
        <v/>
      </c>
      <c r="N14" s="22">
        <f>COUNTIFS(出退勤入力!$B:$B,A14,出退勤入力!$A:$A,"&gt;="&amp;DATE(月次集計!$E$2,月次集計!$F$2,1),出退勤入力!$A:$A,"&lt;="&amp;DATE(月次集計!$E$2,月次集計!$F$2+1,0),出退勤入力!$F:$F,"E")</f>
        <v/>
      </c>
      <c r="O14" s="22">
        <f>COUNTIFS(出退勤入力!$B:$B,A14,出退勤入力!$A:$A,"&gt;="&amp;DATE(月次集計!$E$2,月次集計!$F$2,1),出退勤入力!$A:$A,"&lt;="&amp;DATE(月次集計!$E$2,月次集計!$F$2+1,0),出退勤入力!$F:$F,"F")</f>
        <v/>
      </c>
      <c r="P14" s="10">
        <f>IFERROR(VLOOKUP(A14,従業員マスタ!$A:$F,6,0),0)</f>
        <v/>
      </c>
      <c r="Q14" s="10">
        <f>IFERROR(VLOOKUP(A14,従業員マスタ!$A:$G,7,0)*H14*1.25,0)</f>
        <v/>
      </c>
      <c r="R14" s="10" t="n">
        <v>0</v>
      </c>
      <c r="S14" s="10">
        <f>IFERROR(P14+Q14+R14,0)</f>
        <v/>
      </c>
      <c r="T14" s="116">
        <f>IFERROR(SUMIFS(出退勤入力!$M:$M,出退勤入力!$B:$B,A14,出退勤入力!$A:$A,"&gt;="&amp;DATE($E$2,$F$2,1),出退勤入力!$A:$A,"&lt;="&amp;DATE($E$2,$F$2+1,0)),0)</f>
        <v/>
      </c>
    </row>
    <row r="15" ht="21.75" customHeight="1">
      <c r="A15" s="2" t="inlineStr">
        <is>
          <t>EMP013</t>
        </is>
      </c>
      <c r="B15" s="3">
        <f>IFERROR(VLOOKUP(A15,従業員マスタ!$A:$B,2,0),"")</f>
        <v/>
      </c>
      <c r="C15" s="24">
        <f>COUNTIFS(出退勤入力!$B:$B,A15,出退勤入力!$A:$A,"&gt;="&amp;DATE(月次集計!$E$2,月次集計!$F$2,1),出退勤入力!$A:$A,"&lt;="&amp;DATE(月次集計!$E$2,月次集計!$F$2+1,0),出退勤入力!$E:$E,"○")</f>
        <v/>
      </c>
      <c r="D15" s="24">
        <f>COUNTIFS(出退勤入力!$B:$B,A15,出退勤入力!$A:$A,"&gt;="&amp;DATE(月次集計!$E$2,月次集計!$F$2,1),出退勤入力!$A:$A,"&lt;="&amp;DATE(月次集計!$E$2,月次集計!$F$2+1,0),出退勤入力!$E:$E,"△")</f>
        <v/>
      </c>
      <c r="E15" s="24">
        <f>COUNTIFS(出退勤入力!$B:$B,A15,出退勤入力!$A:$A,"&gt;="&amp;DATE(月次集計!$E$2,月次集計!$F$2,1),出退勤入力!$A:$A,"&lt;="&amp;DATE(月次集計!$E$2,月次集計!$F$2+1,0),出退勤入力!$E:$E,"有給")</f>
        <v/>
      </c>
      <c r="F15" s="24">
        <f>COUNTIFS(出退勤入力!$B:$B,A15,出退勤入力!$A:$A,"&gt;="&amp;DATE(月次集計!$E$2,月次集計!$F$2,1),出退勤入力!$A:$A,"&lt;="&amp;DATE(月次集計!$E$2,月次集計!$F$2+1,0),出退勤入力!$E:$E,"出")</f>
        <v/>
      </c>
      <c r="G15" s="24">
        <f>COUNTIFS(出退勤入力!$B:$B,A15,出退勤入力!$A:$A,"&gt;="&amp;DATE(月次集計!$E$2,月次集計!$F$2,1),出退勤入力!$A:$A,"&lt;="&amp;DATE(月次集計!$E$2,月次集計!$F$2+1,0),出退勤入力!$E:$E,"欠勤")</f>
        <v/>
      </c>
      <c r="H15" s="117">
        <f>IFERROR(SUMIFS(出退勤入力!$J:$J,出退勤入力!$B:$B,A15,出退勤入力!$A:$A,"&gt;="&amp;DATE(月次集計!$E$2,月次集計!$F$2,1),出退勤入力!$A:$A,"&lt;="&amp;DATE(月次集計!$E$2,月次集計!$F$2+1,0)),0)</f>
        <v/>
      </c>
      <c r="I15" s="117">
        <f>IFERROR(SUMIFS(出退勤入力!$K:$K,出退勤入力!$B:$B,A15,出退勤入力!$A:$A,"&gt;="&amp;DATE(月次集計!$E$2,月次集計!$F$2,1),出退勤入力!$A:$A,"&lt;="&amp;DATE(月次集計!$E$2,月次集計!$F$2+1,0)),0)</f>
        <v/>
      </c>
      <c r="J15" s="24">
        <f>COUNTIFS(出退勤入力!$B:$B,A15,出退勤入力!$A:$A,"&gt;="&amp;DATE(月次集計!$E$2,月次集計!$F$2,1),出退勤入力!$A:$A,"&lt;="&amp;DATE(月次集計!$E$2,月次集計!$F$2+1,0),出退勤入力!$F:$F,"A")</f>
        <v/>
      </c>
      <c r="K15" s="24">
        <f>COUNTIFS(出退勤入力!$B:$B,A15,出退勤入力!$A:$A,"&gt;="&amp;DATE(月次集計!$E$2,月次集計!$F$2,1),出退勤入力!$A:$A,"&lt;="&amp;DATE(月次集計!$E$2,月次集計!$F$2+1,0),出退勤入力!$F:$F,"B")</f>
        <v/>
      </c>
      <c r="L15" s="24">
        <f>COUNTIFS(出退勤入力!$B:$B,A15,出退勤入力!$A:$A,"&gt;="&amp;DATE(月次集計!$E$2,月次集計!$F$2,1),出退勤入力!$A:$A,"&lt;="&amp;DATE(月次集計!$E$2,月次集計!$F$2+1,0),出退勤入力!$F:$F,"C")</f>
        <v/>
      </c>
      <c r="M15" s="24">
        <f>COUNTIFS(出退勤入力!$B:$B,A15,出退勤入力!$A:$A,"&gt;="&amp;DATE(月次集計!$E$2,月次集計!$F$2,1),出退勤入力!$A:$A,"&lt;="&amp;DATE(月次集計!$E$2,月次集計!$F$2+1,0),出退勤入力!$F:$F,"D")</f>
        <v/>
      </c>
      <c r="N15" s="24">
        <f>COUNTIFS(出退勤入力!$B:$B,A15,出退勤入力!$A:$A,"&gt;="&amp;DATE(月次集計!$E$2,月次集計!$F$2,1),出退勤入力!$A:$A,"&lt;="&amp;DATE(月次集計!$E$2,月次集計!$F$2+1,0),出退勤入力!$F:$F,"E")</f>
        <v/>
      </c>
      <c r="O15" s="24">
        <f>COUNTIFS(出退勤入力!$B:$B,A15,出退勤入力!$A:$A,"&gt;="&amp;DATE(月次集計!$E$2,月次集計!$F$2,1),出退勤入力!$A:$A,"&lt;="&amp;DATE(月次集計!$E$2,月次集計!$F$2+1,0),出退勤入力!$F:$F,"F")</f>
        <v/>
      </c>
      <c r="P15" s="5">
        <f>IFERROR(VLOOKUP(A15,従業員マスタ!$A:$F,6,0),0)</f>
        <v/>
      </c>
      <c r="Q15" s="5">
        <f>IFERROR(VLOOKUP(A15,従業員マスタ!$A:$G,7,0)*H15*1.25,0)</f>
        <v/>
      </c>
      <c r="R15" s="5" t="n">
        <v>0</v>
      </c>
      <c r="S15" s="5">
        <f>IFERROR(P15+Q15+R15,0)</f>
        <v/>
      </c>
      <c r="T15" s="116">
        <f>IFERROR(SUMIFS(出退勤入力!$M:$M,出退勤入力!$B:$B,A15,出退勤入力!$A:$A,"&gt;="&amp;DATE($E$2,$F$2,1),出退勤入力!$A:$A,"&lt;="&amp;DATE($E$2,$F$2+1,0)),0)</f>
        <v/>
      </c>
    </row>
    <row r="16" ht="21.75" customHeight="1">
      <c r="A16" s="7" t="inlineStr">
        <is>
          <t>EMP014</t>
        </is>
      </c>
      <c r="B16" s="8">
        <f>IFERROR(VLOOKUP(A16,従業員マスタ!$A:$B,2,0),"")</f>
        <v/>
      </c>
      <c r="C16" s="22">
        <f>COUNTIFS(出退勤入力!$B:$B,A16,出退勤入力!$A:$A,"&gt;="&amp;DATE(月次集計!$E$2,月次集計!$F$2,1),出退勤入力!$A:$A,"&lt;="&amp;DATE(月次集計!$E$2,月次集計!$F$2+1,0),出退勤入力!$E:$E,"○")</f>
        <v/>
      </c>
      <c r="D16" s="22">
        <f>COUNTIFS(出退勤入力!$B:$B,A16,出退勤入力!$A:$A,"&gt;="&amp;DATE(月次集計!$E$2,月次集計!$F$2,1),出退勤入力!$A:$A,"&lt;="&amp;DATE(月次集計!$E$2,月次集計!$F$2+1,0),出退勤入力!$E:$E,"△")</f>
        <v/>
      </c>
      <c r="E16" s="22">
        <f>COUNTIFS(出退勤入力!$B:$B,A16,出退勤入力!$A:$A,"&gt;="&amp;DATE(月次集計!$E$2,月次集計!$F$2,1),出退勤入力!$A:$A,"&lt;="&amp;DATE(月次集計!$E$2,月次集計!$F$2+1,0),出退勤入力!$E:$E,"有給")</f>
        <v/>
      </c>
      <c r="F16" s="22">
        <f>COUNTIFS(出退勤入力!$B:$B,A16,出退勤入力!$A:$A,"&gt;="&amp;DATE(月次集計!$E$2,月次集計!$F$2,1),出退勤入力!$A:$A,"&lt;="&amp;DATE(月次集計!$E$2,月次集計!$F$2+1,0),出退勤入力!$E:$E,"出")</f>
        <v/>
      </c>
      <c r="G16" s="22">
        <f>COUNTIFS(出退勤入力!$B:$B,A16,出退勤入力!$A:$A,"&gt;="&amp;DATE(月次集計!$E$2,月次集計!$F$2,1),出退勤入力!$A:$A,"&lt;="&amp;DATE(月次集計!$E$2,月次集計!$F$2+1,0),出退勤入力!$E:$E,"欠勤")</f>
        <v/>
      </c>
      <c r="H16" s="115">
        <f>IFERROR(SUMIFS(出退勤入力!$J:$J,出退勤入力!$B:$B,A16,出退勤入力!$A:$A,"&gt;="&amp;DATE(月次集計!$E$2,月次集計!$F$2,1),出退勤入力!$A:$A,"&lt;="&amp;DATE(月次集計!$E$2,月次集計!$F$2+1,0)),0)</f>
        <v/>
      </c>
      <c r="I16" s="115">
        <f>IFERROR(SUMIFS(出退勤入力!$K:$K,出退勤入力!$B:$B,A16,出退勤入力!$A:$A,"&gt;="&amp;DATE(月次集計!$E$2,月次集計!$F$2,1),出退勤入力!$A:$A,"&lt;="&amp;DATE(月次集計!$E$2,月次集計!$F$2+1,0)),0)</f>
        <v/>
      </c>
      <c r="J16" s="22">
        <f>COUNTIFS(出退勤入力!$B:$B,A16,出退勤入力!$A:$A,"&gt;="&amp;DATE(月次集計!$E$2,月次集計!$F$2,1),出退勤入力!$A:$A,"&lt;="&amp;DATE(月次集計!$E$2,月次集計!$F$2+1,0),出退勤入力!$F:$F,"A")</f>
        <v/>
      </c>
      <c r="K16" s="22">
        <f>COUNTIFS(出退勤入力!$B:$B,A16,出退勤入力!$A:$A,"&gt;="&amp;DATE(月次集計!$E$2,月次集計!$F$2,1),出退勤入力!$A:$A,"&lt;="&amp;DATE(月次集計!$E$2,月次集計!$F$2+1,0),出退勤入力!$F:$F,"B")</f>
        <v/>
      </c>
      <c r="L16" s="22">
        <f>COUNTIFS(出退勤入力!$B:$B,A16,出退勤入力!$A:$A,"&gt;="&amp;DATE(月次集計!$E$2,月次集計!$F$2,1),出退勤入力!$A:$A,"&lt;="&amp;DATE(月次集計!$E$2,月次集計!$F$2+1,0),出退勤入力!$F:$F,"C")</f>
        <v/>
      </c>
      <c r="M16" s="22">
        <f>COUNTIFS(出退勤入力!$B:$B,A16,出退勤入力!$A:$A,"&gt;="&amp;DATE(月次集計!$E$2,月次集計!$F$2,1),出退勤入力!$A:$A,"&lt;="&amp;DATE(月次集計!$E$2,月次集計!$F$2+1,0),出退勤入力!$F:$F,"D")</f>
        <v/>
      </c>
      <c r="N16" s="22">
        <f>COUNTIFS(出退勤入力!$B:$B,A16,出退勤入力!$A:$A,"&gt;="&amp;DATE(月次集計!$E$2,月次集計!$F$2,1),出退勤入力!$A:$A,"&lt;="&amp;DATE(月次集計!$E$2,月次集計!$F$2+1,0),出退勤入力!$F:$F,"E")</f>
        <v/>
      </c>
      <c r="O16" s="22">
        <f>COUNTIFS(出退勤入力!$B:$B,A16,出退勤入力!$A:$A,"&gt;="&amp;DATE(月次集計!$E$2,月次集計!$F$2,1),出退勤入力!$A:$A,"&lt;="&amp;DATE(月次集計!$E$2,月次集計!$F$2+1,0),出退勤入力!$F:$F,"F")</f>
        <v/>
      </c>
      <c r="P16" s="10">
        <f>IFERROR(VLOOKUP(A16,従業員マスタ!$A:$F,6,0),0)</f>
        <v/>
      </c>
      <c r="Q16" s="10">
        <f>IFERROR(VLOOKUP(A16,従業員マスタ!$A:$G,7,0)*H16*1.25,0)</f>
        <v/>
      </c>
      <c r="R16" s="10" t="n">
        <v>0</v>
      </c>
      <c r="S16" s="10">
        <f>IFERROR(P16+Q16+R16,0)</f>
        <v/>
      </c>
      <c r="T16" s="116">
        <f>IFERROR(SUMIFS(出退勤入力!$M:$M,出退勤入力!$B:$B,A16,出退勤入力!$A:$A,"&gt;="&amp;DATE($E$2,$F$2,1),出退勤入力!$A:$A,"&lt;="&amp;DATE($E$2,$F$2+1,0)),0)</f>
        <v/>
      </c>
    </row>
    <row r="17" ht="21.75" customHeight="1">
      <c r="A17" s="2" t="inlineStr">
        <is>
          <t>EMP015</t>
        </is>
      </c>
      <c r="B17" s="3">
        <f>IFERROR(VLOOKUP(A17,従業員マスタ!$A:$B,2,0),"")</f>
        <v/>
      </c>
      <c r="C17" s="24">
        <f>COUNTIFS(出退勤入力!$B:$B,A17,出退勤入力!$A:$A,"&gt;="&amp;DATE(月次集計!$E$2,月次集計!$F$2,1),出退勤入力!$A:$A,"&lt;="&amp;DATE(月次集計!$E$2,月次集計!$F$2+1,0),出退勤入力!$E:$E,"○")</f>
        <v/>
      </c>
      <c r="D17" s="24">
        <f>COUNTIFS(出退勤入力!$B:$B,A17,出退勤入力!$A:$A,"&gt;="&amp;DATE(月次集計!$E$2,月次集計!$F$2,1),出退勤入力!$A:$A,"&lt;="&amp;DATE(月次集計!$E$2,月次集計!$F$2+1,0),出退勤入力!$E:$E,"△")</f>
        <v/>
      </c>
      <c r="E17" s="24">
        <f>COUNTIFS(出退勤入力!$B:$B,A17,出退勤入力!$A:$A,"&gt;="&amp;DATE(月次集計!$E$2,月次集計!$F$2,1),出退勤入力!$A:$A,"&lt;="&amp;DATE(月次集計!$E$2,月次集計!$F$2+1,0),出退勤入力!$E:$E,"有給")</f>
        <v/>
      </c>
      <c r="F17" s="24">
        <f>COUNTIFS(出退勤入力!$B:$B,A17,出退勤入力!$A:$A,"&gt;="&amp;DATE(月次集計!$E$2,月次集計!$F$2,1),出退勤入力!$A:$A,"&lt;="&amp;DATE(月次集計!$E$2,月次集計!$F$2+1,0),出退勤入力!$E:$E,"出")</f>
        <v/>
      </c>
      <c r="G17" s="24">
        <f>COUNTIFS(出退勤入力!$B:$B,A17,出退勤入力!$A:$A,"&gt;="&amp;DATE(月次集計!$E$2,月次集計!$F$2,1),出退勤入力!$A:$A,"&lt;="&amp;DATE(月次集計!$E$2,月次集計!$F$2+1,0),出退勤入力!$E:$E,"欠勤")</f>
        <v/>
      </c>
      <c r="H17" s="117">
        <f>IFERROR(SUMIFS(出退勤入力!$J:$J,出退勤入力!$B:$B,A17,出退勤入力!$A:$A,"&gt;="&amp;DATE(月次集計!$E$2,月次集計!$F$2,1),出退勤入力!$A:$A,"&lt;="&amp;DATE(月次集計!$E$2,月次集計!$F$2+1,0)),0)</f>
        <v/>
      </c>
      <c r="I17" s="117">
        <f>IFERROR(SUMIFS(出退勤入力!$K:$K,出退勤入力!$B:$B,A17,出退勤入力!$A:$A,"&gt;="&amp;DATE(月次集計!$E$2,月次集計!$F$2,1),出退勤入力!$A:$A,"&lt;="&amp;DATE(月次集計!$E$2,月次集計!$F$2+1,0)),0)</f>
        <v/>
      </c>
      <c r="J17" s="24">
        <f>COUNTIFS(出退勤入力!$B:$B,A17,出退勤入力!$A:$A,"&gt;="&amp;DATE(月次集計!$E$2,月次集計!$F$2,1),出退勤入力!$A:$A,"&lt;="&amp;DATE(月次集計!$E$2,月次集計!$F$2+1,0),出退勤入力!$F:$F,"A")</f>
        <v/>
      </c>
      <c r="K17" s="24">
        <f>COUNTIFS(出退勤入力!$B:$B,A17,出退勤入力!$A:$A,"&gt;="&amp;DATE(月次集計!$E$2,月次集計!$F$2,1),出退勤入力!$A:$A,"&lt;="&amp;DATE(月次集計!$E$2,月次集計!$F$2+1,0),出退勤入力!$F:$F,"B")</f>
        <v/>
      </c>
      <c r="L17" s="24">
        <f>COUNTIFS(出退勤入力!$B:$B,A17,出退勤入力!$A:$A,"&gt;="&amp;DATE(月次集計!$E$2,月次集計!$F$2,1),出退勤入力!$A:$A,"&lt;="&amp;DATE(月次集計!$E$2,月次集計!$F$2+1,0),出退勤入力!$F:$F,"C")</f>
        <v/>
      </c>
      <c r="M17" s="24">
        <f>COUNTIFS(出退勤入力!$B:$B,A17,出退勤入力!$A:$A,"&gt;="&amp;DATE(月次集計!$E$2,月次集計!$F$2,1),出退勤入力!$A:$A,"&lt;="&amp;DATE(月次集計!$E$2,月次集計!$F$2+1,0),出退勤入力!$F:$F,"D")</f>
        <v/>
      </c>
      <c r="N17" s="24">
        <f>COUNTIFS(出退勤入力!$B:$B,A17,出退勤入力!$A:$A,"&gt;="&amp;DATE(月次集計!$E$2,月次集計!$F$2,1),出退勤入力!$A:$A,"&lt;="&amp;DATE(月次集計!$E$2,月次集計!$F$2+1,0),出退勤入力!$F:$F,"E")</f>
        <v/>
      </c>
      <c r="O17" s="24">
        <f>COUNTIFS(出退勤入力!$B:$B,A17,出退勤入力!$A:$A,"&gt;="&amp;DATE(月次集計!$E$2,月次集計!$F$2,1),出退勤入力!$A:$A,"&lt;="&amp;DATE(月次集計!$E$2,月次集計!$F$2+1,0),出退勤入力!$F:$F,"F")</f>
        <v/>
      </c>
      <c r="P17" s="5">
        <f>IFERROR(VLOOKUP(A17,従業員マスタ!$A:$F,6,0),0)</f>
        <v/>
      </c>
      <c r="Q17" s="5">
        <f>IFERROR(VLOOKUP(A17,従業員マスタ!$A:$G,7,0)*H17*1.25,0)</f>
        <v/>
      </c>
      <c r="R17" s="5" t="n">
        <v>0</v>
      </c>
      <c r="S17" s="5">
        <f>IFERROR(P17+Q17+R17,0)</f>
        <v/>
      </c>
      <c r="T17" s="116">
        <f>IFERROR(SUMIFS(出退勤入力!$M:$M,出退勤入力!$B:$B,A17,出退勤入力!$A:$A,"&gt;="&amp;DATE($E$2,$F$2,1),出退勤入力!$A:$A,"&lt;="&amp;DATE($E$2,$F$2+1,0)),0)</f>
        <v/>
      </c>
    </row>
    <row r="18" ht="21.75" customHeight="1">
      <c r="A18" s="7" t="inlineStr">
        <is>
          <t>EMP016</t>
        </is>
      </c>
      <c r="B18" s="8">
        <f>IFERROR(VLOOKUP(A18,従業員マスタ!$A:$B,2,0),"")</f>
        <v/>
      </c>
      <c r="C18" s="22">
        <f>COUNTIFS(出退勤入力!$B:$B,A18,出退勤入力!$A:$A,"&gt;="&amp;DATE(月次集計!$E$2,月次集計!$F$2,1),出退勤入力!$A:$A,"&lt;="&amp;DATE(月次集計!$E$2,月次集計!$F$2+1,0),出退勤入力!$E:$E,"○")</f>
        <v/>
      </c>
      <c r="D18" s="22">
        <f>COUNTIFS(出退勤入力!$B:$B,A18,出退勤入力!$A:$A,"&gt;="&amp;DATE(月次集計!$E$2,月次集計!$F$2,1),出退勤入力!$A:$A,"&lt;="&amp;DATE(月次集計!$E$2,月次集計!$F$2+1,0),出退勤入力!$E:$E,"△")</f>
        <v/>
      </c>
      <c r="E18" s="22">
        <f>COUNTIFS(出退勤入力!$B:$B,A18,出退勤入力!$A:$A,"&gt;="&amp;DATE(月次集計!$E$2,月次集計!$F$2,1),出退勤入力!$A:$A,"&lt;="&amp;DATE(月次集計!$E$2,月次集計!$F$2+1,0),出退勤入力!$E:$E,"有給")</f>
        <v/>
      </c>
      <c r="F18" s="22">
        <f>COUNTIFS(出退勤入力!$B:$B,A18,出退勤入力!$A:$A,"&gt;="&amp;DATE(月次集計!$E$2,月次集計!$F$2,1),出退勤入力!$A:$A,"&lt;="&amp;DATE(月次集計!$E$2,月次集計!$F$2+1,0),出退勤入力!$E:$E,"出")</f>
        <v/>
      </c>
      <c r="G18" s="22">
        <f>COUNTIFS(出退勤入力!$B:$B,A18,出退勤入力!$A:$A,"&gt;="&amp;DATE(月次集計!$E$2,月次集計!$F$2,1),出退勤入力!$A:$A,"&lt;="&amp;DATE(月次集計!$E$2,月次集計!$F$2+1,0),出退勤入力!$E:$E,"欠勤")</f>
        <v/>
      </c>
      <c r="H18" s="115">
        <f>IFERROR(SUMIFS(出退勤入力!$J:$J,出退勤入力!$B:$B,A18,出退勤入力!$A:$A,"&gt;="&amp;DATE(月次集計!$E$2,月次集計!$F$2,1),出退勤入力!$A:$A,"&lt;="&amp;DATE(月次集計!$E$2,月次集計!$F$2+1,0)),0)</f>
        <v/>
      </c>
      <c r="I18" s="115">
        <f>IFERROR(SUMIFS(出退勤入力!$K:$K,出退勤入力!$B:$B,A18,出退勤入力!$A:$A,"&gt;="&amp;DATE(月次集計!$E$2,月次集計!$F$2,1),出退勤入力!$A:$A,"&lt;="&amp;DATE(月次集計!$E$2,月次集計!$F$2+1,0)),0)</f>
        <v/>
      </c>
      <c r="J18" s="22">
        <f>COUNTIFS(出退勤入力!$B:$B,A18,出退勤入力!$A:$A,"&gt;="&amp;DATE(月次集計!$E$2,月次集計!$F$2,1),出退勤入力!$A:$A,"&lt;="&amp;DATE(月次集計!$E$2,月次集計!$F$2+1,0),出退勤入力!$F:$F,"A")</f>
        <v/>
      </c>
      <c r="K18" s="22">
        <f>COUNTIFS(出退勤入力!$B:$B,A18,出退勤入力!$A:$A,"&gt;="&amp;DATE(月次集計!$E$2,月次集計!$F$2,1),出退勤入力!$A:$A,"&lt;="&amp;DATE(月次集計!$E$2,月次集計!$F$2+1,0),出退勤入力!$F:$F,"B")</f>
        <v/>
      </c>
      <c r="L18" s="22">
        <f>COUNTIFS(出退勤入力!$B:$B,A18,出退勤入力!$A:$A,"&gt;="&amp;DATE(月次集計!$E$2,月次集計!$F$2,1),出退勤入力!$A:$A,"&lt;="&amp;DATE(月次集計!$E$2,月次集計!$F$2+1,0),出退勤入力!$F:$F,"C")</f>
        <v/>
      </c>
      <c r="M18" s="22">
        <f>COUNTIFS(出退勤入力!$B:$B,A18,出退勤入力!$A:$A,"&gt;="&amp;DATE(月次集計!$E$2,月次集計!$F$2,1),出退勤入力!$A:$A,"&lt;="&amp;DATE(月次集計!$E$2,月次集計!$F$2+1,0),出退勤入力!$F:$F,"D")</f>
        <v/>
      </c>
      <c r="N18" s="22">
        <f>COUNTIFS(出退勤入力!$B:$B,A18,出退勤入力!$A:$A,"&gt;="&amp;DATE(月次集計!$E$2,月次集計!$F$2,1),出退勤入力!$A:$A,"&lt;="&amp;DATE(月次集計!$E$2,月次集計!$F$2+1,0),出退勤入力!$F:$F,"E")</f>
        <v/>
      </c>
      <c r="O18" s="22">
        <f>COUNTIFS(出退勤入力!$B:$B,A18,出退勤入力!$A:$A,"&gt;="&amp;DATE(月次集計!$E$2,月次集計!$F$2,1),出退勤入力!$A:$A,"&lt;="&amp;DATE(月次集計!$E$2,月次集計!$F$2+1,0),出退勤入力!$F:$F,"F")</f>
        <v/>
      </c>
      <c r="P18" s="10">
        <f>IFERROR(VLOOKUP(A18,従業員マスタ!$A:$F,6,0),0)</f>
        <v/>
      </c>
      <c r="Q18" s="10">
        <f>IFERROR(VLOOKUP(A18,従業員マスタ!$A:$G,7,0)*H18*1.25,0)</f>
        <v/>
      </c>
      <c r="R18" s="10" t="n">
        <v>0</v>
      </c>
      <c r="S18" s="10">
        <f>IFERROR(P18+Q18+R18,0)</f>
        <v/>
      </c>
      <c r="T18" s="116">
        <f>IFERROR(SUMIFS(出退勤入力!$M:$M,出退勤入力!$B:$B,A18,出退勤入力!$A:$A,"&gt;="&amp;DATE($E$2,$F$2,1),出退勤入力!$A:$A,"&lt;="&amp;DATE($E$2,$F$2+1,0)),0)</f>
        <v/>
      </c>
    </row>
    <row r="19" ht="21.75" customHeight="1">
      <c r="A19" s="2" t="inlineStr">
        <is>
          <t>EMP017</t>
        </is>
      </c>
      <c r="B19" s="3">
        <f>IFERROR(VLOOKUP(A19,従業員マスタ!$A:$B,2,0),"")</f>
        <v/>
      </c>
      <c r="C19" s="24">
        <f>COUNTIFS(出退勤入力!$B:$B,A19,出退勤入力!$A:$A,"&gt;="&amp;DATE(月次集計!$E$2,月次集計!$F$2,1),出退勤入力!$A:$A,"&lt;="&amp;DATE(月次集計!$E$2,月次集計!$F$2+1,0),出退勤入力!$E:$E,"○")</f>
        <v/>
      </c>
      <c r="D19" s="24">
        <f>COUNTIFS(出退勤入力!$B:$B,A19,出退勤入力!$A:$A,"&gt;="&amp;DATE(月次集計!$E$2,月次集計!$F$2,1),出退勤入力!$A:$A,"&lt;="&amp;DATE(月次集計!$E$2,月次集計!$F$2+1,0),出退勤入力!$E:$E,"△")</f>
        <v/>
      </c>
      <c r="E19" s="24">
        <f>COUNTIFS(出退勤入力!$B:$B,A19,出退勤入力!$A:$A,"&gt;="&amp;DATE(月次集計!$E$2,月次集計!$F$2,1),出退勤入力!$A:$A,"&lt;="&amp;DATE(月次集計!$E$2,月次集計!$F$2+1,0),出退勤入力!$E:$E,"有給")</f>
        <v/>
      </c>
      <c r="F19" s="24">
        <f>COUNTIFS(出退勤入力!$B:$B,A19,出退勤入力!$A:$A,"&gt;="&amp;DATE(月次集計!$E$2,月次集計!$F$2,1),出退勤入力!$A:$A,"&lt;="&amp;DATE(月次集計!$E$2,月次集計!$F$2+1,0),出退勤入力!$E:$E,"出")</f>
        <v/>
      </c>
      <c r="G19" s="24">
        <f>COUNTIFS(出退勤入力!$B:$B,A19,出退勤入力!$A:$A,"&gt;="&amp;DATE(月次集計!$E$2,月次集計!$F$2,1),出退勤入力!$A:$A,"&lt;="&amp;DATE(月次集計!$E$2,月次集計!$F$2+1,0),出退勤入力!$E:$E,"欠勤")</f>
        <v/>
      </c>
      <c r="H19" s="117">
        <f>IFERROR(SUMIFS(出退勤入力!$J:$J,出退勤入力!$B:$B,A19,出退勤入力!$A:$A,"&gt;="&amp;DATE(月次集計!$E$2,月次集計!$F$2,1),出退勤入力!$A:$A,"&lt;="&amp;DATE(月次集計!$E$2,月次集計!$F$2+1,0)),0)</f>
        <v/>
      </c>
      <c r="I19" s="117">
        <f>IFERROR(SUMIFS(出退勤入力!$K:$K,出退勤入力!$B:$B,A19,出退勤入力!$A:$A,"&gt;="&amp;DATE(月次集計!$E$2,月次集計!$F$2,1),出退勤入力!$A:$A,"&lt;="&amp;DATE(月次集計!$E$2,月次集計!$F$2+1,0)),0)</f>
        <v/>
      </c>
      <c r="J19" s="24">
        <f>COUNTIFS(出退勤入力!$B:$B,A19,出退勤入力!$A:$A,"&gt;="&amp;DATE(月次集計!$E$2,月次集計!$F$2,1),出退勤入力!$A:$A,"&lt;="&amp;DATE(月次集計!$E$2,月次集計!$F$2+1,0),出退勤入力!$F:$F,"A")</f>
        <v/>
      </c>
      <c r="K19" s="24">
        <f>COUNTIFS(出退勤入力!$B:$B,A19,出退勤入力!$A:$A,"&gt;="&amp;DATE(月次集計!$E$2,月次集計!$F$2,1),出退勤入力!$A:$A,"&lt;="&amp;DATE(月次集計!$E$2,月次集計!$F$2+1,0),出退勤入力!$F:$F,"B")</f>
        <v/>
      </c>
      <c r="L19" s="24">
        <f>COUNTIFS(出退勤入力!$B:$B,A19,出退勤入力!$A:$A,"&gt;="&amp;DATE(月次集計!$E$2,月次集計!$F$2,1),出退勤入力!$A:$A,"&lt;="&amp;DATE(月次集計!$E$2,月次集計!$F$2+1,0),出退勤入力!$F:$F,"C")</f>
        <v/>
      </c>
      <c r="M19" s="24">
        <f>COUNTIFS(出退勤入力!$B:$B,A19,出退勤入力!$A:$A,"&gt;="&amp;DATE(月次集計!$E$2,月次集計!$F$2,1),出退勤入力!$A:$A,"&lt;="&amp;DATE(月次集計!$E$2,月次集計!$F$2+1,0),出退勤入力!$F:$F,"D")</f>
        <v/>
      </c>
      <c r="N19" s="24">
        <f>COUNTIFS(出退勤入力!$B:$B,A19,出退勤入力!$A:$A,"&gt;="&amp;DATE(月次集計!$E$2,月次集計!$F$2,1),出退勤入力!$A:$A,"&lt;="&amp;DATE(月次集計!$E$2,月次集計!$F$2+1,0),出退勤入力!$F:$F,"E")</f>
        <v/>
      </c>
      <c r="O19" s="24">
        <f>COUNTIFS(出退勤入力!$B:$B,A19,出退勤入力!$A:$A,"&gt;="&amp;DATE(月次集計!$E$2,月次集計!$F$2,1),出退勤入力!$A:$A,"&lt;="&amp;DATE(月次集計!$E$2,月次集計!$F$2+1,0),出退勤入力!$F:$F,"F")</f>
        <v/>
      </c>
      <c r="P19" s="5">
        <f>IFERROR(VLOOKUP(A19,従業員マスタ!$A:$F,6,0),0)</f>
        <v/>
      </c>
      <c r="Q19" s="5">
        <f>IFERROR(VLOOKUP(A19,従業員マスタ!$A:$G,7,0)*H19*1.25,0)</f>
        <v/>
      </c>
      <c r="R19" s="5" t="n">
        <v>0</v>
      </c>
      <c r="S19" s="5">
        <f>IFERROR(P19+Q19+R19,0)</f>
        <v/>
      </c>
      <c r="T19" s="116">
        <f>IFERROR(SUMIFS(出退勤入力!$M:$M,出退勤入力!$B:$B,A19,出退勤入力!$A:$A,"&gt;="&amp;DATE($E$2,$F$2,1),出退勤入力!$A:$A,"&lt;="&amp;DATE($E$2,$F$2+1,0)),0)</f>
        <v/>
      </c>
    </row>
    <row r="20" ht="21.75" customHeight="1">
      <c r="A20" s="59" t="inlineStr">
        <is>
          <t>合　計</t>
        </is>
      </c>
      <c r="B20" s="107" t="n"/>
      <c r="C20" s="26">
        <f>SUM(C4:C19)</f>
        <v/>
      </c>
      <c r="D20" s="26">
        <f>SUM(D4:D19)</f>
        <v/>
      </c>
      <c r="E20" s="26">
        <f>SUM(E4:E19)</f>
        <v/>
      </c>
      <c r="F20" s="26">
        <f>SUM(F4:F19)</f>
        <v/>
      </c>
      <c r="G20" s="26">
        <f>SUM(G4:G19)</f>
        <v/>
      </c>
      <c r="H20" s="118">
        <f>SUM(H4:H19)</f>
        <v/>
      </c>
      <c r="I20" s="118">
        <f>SUM(I4:I19)</f>
        <v/>
      </c>
      <c r="J20" s="26">
        <f>SUM(J4:J19)</f>
        <v/>
      </c>
      <c r="K20" s="26">
        <f>SUM(K4:K19)</f>
        <v/>
      </c>
      <c r="L20" s="26">
        <f>SUM(L4:L19)</f>
        <v/>
      </c>
      <c r="M20" s="26">
        <f>SUM(M4:M19)</f>
        <v/>
      </c>
      <c r="N20" s="26">
        <f>SUM(N4:N19)</f>
        <v/>
      </c>
      <c r="O20" s="26">
        <f>SUM(O4:O19)</f>
        <v/>
      </c>
      <c r="P20" s="28">
        <f>SUM(P4:P19)</f>
        <v/>
      </c>
      <c r="Q20" s="28">
        <f>SUM(Q4:Q19)</f>
        <v/>
      </c>
      <c r="R20" s="28">
        <f>SUM(R4:R19)</f>
        <v/>
      </c>
      <c r="S20" s="28">
        <f>SUM(S4:S19)</f>
        <v/>
      </c>
      <c r="T20" s="119">
        <f>SUM(T4:T19)</f>
        <v/>
      </c>
    </row>
  </sheetData>
  <mergeCells count="4">
    <mergeCell ref="A20:B20"/>
    <mergeCell ref="A2:B2"/>
    <mergeCell ref="H2:S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1" sqref="H11"/>
    </sheetView>
  </sheetViews>
  <sheetFormatPr baseColWidth="8" defaultColWidth="8.6640625" defaultRowHeight="14.4"/>
  <cols>
    <col width="10" customWidth="1" min="1" max="1"/>
    <col width="18" customWidth="1" min="2" max="2"/>
    <col width="16.109375" bestFit="1" customWidth="1" min="3" max="3"/>
    <col width="12" customWidth="1" min="4" max="4"/>
    <col width="8" customWidth="1" min="5" max="7"/>
    <col width="12" customWidth="1" min="8" max="11"/>
    <col width="10" customWidth="1" min="12" max="15"/>
    <col width="14" customWidth="1" min="16" max="16"/>
  </cols>
  <sheetData>
    <row r="1" ht="36" customHeight="1">
      <c r="A1" s="44" t="inlineStr">
        <is>
          <t>給与計算書　有限会社 東輝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</row>
    <row r="2" ht="24" customHeight="1">
      <c r="A2" s="57" t="inlineStr">
        <is>
          <t>集計年月:</t>
        </is>
      </c>
      <c r="B2" s="112" t="n"/>
      <c r="C2" s="113">
        <f>月次集計!C2</f>
        <v/>
      </c>
      <c r="D2" s="60" t="inlineStr">
        <is>
          <t>支払日: 翌月2日　　※月次集計シートの年月と連動します</t>
        </is>
      </c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</row>
    <row r="3" ht="45" customHeight="1">
      <c r="A3" s="29" t="inlineStr">
        <is>
          <t>社員ID</t>
        </is>
      </c>
      <c r="B3" s="29" t="inlineStr">
        <is>
          <t>氏名</t>
        </is>
      </c>
      <c r="C3" s="29" t="inlineStr">
        <is>
          <t>雇用区分</t>
        </is>
      </c>
      <c r="D3" s="29" t="inlineStr">
        <is>
          <t>基本給
/月給</t>
        </is>
      </c>
      <c r="E3" s="29" t="inlineStr">
        <is>
          <t>出勤
日数</t>
        </is>
      </c>
      <c r="F3" s="29" t="inlineStr">
        <is>
          <t>残業
時間</t>
        </is>
      </c>
      <c r="G3" s="29" t="inlineStr">
        <is>
          <t>有給
日数</t>
        </is>
      </c>
      <c r="H3" s="29" t="inlineStr">
        <is>
          <t>基本給
支給額</t>
        </is>
      </c>
      <c r="I3" s="29" t="inlineStr">
        <is>
          <t>残業
手当</t>
        </is>
      </c>
      <c r="J3" s="29" t="inlineStr">
        <is>
          <t>手当
合計</t>
        </is>
      </c>
      <c r="K3" s="29" t="inlineStr">
        <is>
          <t>欠勤
控除</t>
        </is>
      </c>
      <c r="L3" s="29" t="inlineStr">
        <is>
          <t>総支給</t>
        </is>
      </c>
      <c r="M3" s="29" t="inlineStr">
        <is>
          <t>健康
保険</t>
        </is>
      </c>
      <c r="N3" s="29" t="inlineStr">
        <is>
          <t>厚生
年金</t>
        </is>
      </c>
      <c r="O3" s="29" t="inlineStr">
        <is>
          <t>雇用
保険</t>
        </is>
      </c>
      <c r="P3" s="29" t="inlineStr">
        <is>
          <t>所得税</t>
        </is>
      </c>
      <c r="Q3" s="98" t="inlineStr">
        <is>
          <t>控除後支給額
(住民税前)</t>
        </is>
      </c>
      <c r="R3" s="98" t="inlineStr">
        <is>
          <t>住民税
(固定月額)</t>
        </is>
      </c>
      <c r="S3" s="98" t="inlineStr">
        <is>
          <t>友愛会費</t>
        </is>
      </c>
      <c r="T3" s="120" t="inlineStr">
        <is>
          <t>★立替金
(手動入力)</t>
        </is>
      </c>
      <c r="U3" s="121" t="inlineStr">
        <is>
          <t>手取金額
(最終)</t>
        </is>
      </c>
    </row>
    <row r="4" ht="21.75" customHeight="1">
      <c r="A4" s="30" t="inlineStr">
        <is>
          <t>EMP001</t>
        </is>
      </c>
      <c r="B4" s="31">
        <f>IFERROR(VLOOKUP(A4,従業員マスタ!$A:$B,2,0),"")</f>
        <v/>
      </c>
      <c r="C4" s="30">
        <f>IFERROR(VLOOKUP(A4,従業員マスタ!$A:$D,4,0),"")</f>
        <v/>
      </c>
      <c r="D4" s="32">
        <f>IFERROR(VLOOKUP(A4,従業員マスタ!$A:$F,6,0),0)</f>
        <v/>
      </c>
      <c r="E4" s="33">
        <f>IFERROR(VLOOKUP(A4,月次集計!$A:$C,3,0),0)</f>
        <v/>
      </c>
      <c r="F4" s="33">
        <f>IFERROR(VLOOKUP(A4,月次集計!$A:$H,8,0),0)</f>
        <v/>
      </c>
      <c r="G4" s="33">
        <f>IFERROR(VLOOKUP(A4,月次集計!$A:$E,5,0),0)</f>
        <v/>
      </c>
      <c r="H4" s="32">
        <f>IF(C4="月給",D4,IF(C4="日給",D4*E4+IFERROR(VLOOKUP(A4,従業員マスタ!$A:$G,7,0),0)*G4*8,IF(C4="時給",IFERROR(VLOOKUP(A4,従業員マスタ!$A:$G,7,0)*(IFERROR(VLOOKUP(A4,月次集計!$A:$T,20,0),0)+G4*5),0),0)))</f>
        <v/>
      </c>
      <c r="I4" s="32">
        <f>IF(OR(A4="EMP001",A4="EMP002"),0,IF(C4="時給",0,IFERROR(VLOOKUP(A4,従業員マスタ!$A:$G,7,0)*F4*1.25,0)))</f>
        <v/>
      </c>
      <c r="J4" s="32" t="n">
        <v>0</v>
      </c>
      <c r="K4" s="32">
        <f>IF(OR(A4="EMP008",A4="EMP009",A4="EMP010",A4="EMP011",A4="EMP012",A4="EMP016"),IFERROR(VLOOKUP(A4,従業員マスタ!$A:$G,7,0)*(VLOOKUP(A4,月次集計!$A:$G,7,0)*8+VLOOKUP(A4,月次集計!$A:$I,9,0)),0),0)</f>
        <v/>
      </c>
      <c r="L4" s="32">
        <f>H4+I4+J4-K4</f>
        <v/>
      </c>
      <c r="M4" s="32">
        <f>IFERROR(VLOOKUP(A4,従業員マスタ!$A:$I,8,0),0)</f>
        <v/>
      </c>
      <c r="N4" s="32">
        <f>IFERROR(VLOOKUP(A4,従業員マスタ!$A:$J,9,0),0)</f>
        <v/>
      </c>
      <c r="O4" s="32">
        <f>IFERROR(ROUND(L4*VLOOKUP(A4,従業員マスタ!$A:$K,10,0),0),0)</f>
        <v/>
      </c>
      <c r="P4" s="32">
        <f>IFERROR(VLOOKUP(A4,従業員マスタ!$A:$L,11,0),0)</f>
        <v/>
      </c>
      <c r="Q4" s="32">
        <f>L4-M4-N4-O4-P4</f>
        <v/>
      </c>
      <c r="R4" s="122">
        <f>IFERROR(VLOOKUP(A4,従業員マスタ!$A:$L,12,0),0)</f>
        <v/>
      </c>
      <c r="S4" s="122">
        <f>IFERROR(VLOOKUP(A4,従業員マスタ!$A:$M,13,0),0)</f>
        <v/>
      </c>
      <c r="T4" s="123" t="n">
        <v>0</v>
      </c>
      <c r="U4" s="124">
        <f>Q4-R4-S4-T4</f>
        <v/>
      </c>
    </row>
    <row r="5" ht="21.75" customHeight="1">
      <c r="A5" s="2" t="inlineStr">
        <is>
          <t>EMP002</t>
        </is>
      </c>
      <c r="B5" s="3">
        <f>IFERROR(VLOOKUP(A5,従業員マスタ!$A:$B,2,0),"")</f>
        <v/>
      </c>
      <c r="C5" s="2">
        <f>IFERROR(VLOOKUP(A5,従業員マスタ!$A:$D,4,0),"")</f>
        <v/>
      </c>
      <c r="D5" s="5">
        <f>IFERROR(VLOOKUP(A5,従業員マスタ!$A:$F,6,0),0)</f>
        <v/>
      </c>
      <c r="E5" s="24">
        <f>IFERROR(VLOOKUP(A5,月次集計!$A:$C,3,0),0)</f>
        <v/>
      </c>
      <c r="F5" s="24">
        <f>IFERROR(VLOOKUP(A5,月次集計!$A:$H,8,0),0)</f>
        <v/>
      </c>
      <c r="G5" s="24">
        <f>IFERROR(VLOOKUP(A5,月次集計!$A:$E,5,0),0)</f>
        <v/>
      </c>
      <c r="H5" s="5">
        <f>IF(C5="月給",D5,IF(C5="日給",D5*E5+IFERROR(VLOOKUP(A5,従業員マスタ!$A:$G,7,0),0)*G5*8,IF(C5="時給",IFERROR(VLOOKUP(A5,従業員マスタ!$A:$G,7,0)*(IFERROR(VLOOKUP(A5,月次集計!$A:$T,20,0),0)+G5*5),0),0)))</f>
        <v/>
      </c>
      <c r="I5" s="5">
        <f>IF(OR(A5="EMP001",A5="EMP002"),0,IF(C5="時給",0,IFERROR(VLOOKUP(A5,従業員マスタ!$A:$G,7,0)*F5*1.25,0)))</f>
        <v/>
      </c>
      <c r="J5" s="5" t="n">
        <v>0</v>
      </c>
      <c r="K5" s="32">
        <f>IF(OR(A5="EMP008",A5="EMP009",A5="EMP010",A5="EMP011",A5="EMP012",A5="EMP016"),IFERROR(VLOOKUP(A5,従業員マスタ!$A:$G,7,0)*(VLOOKUP(A5,月次集計!$A:$G,7,0)*8+VLOOKUP(A5,月次集計!$A:$I,9,0)),0),0)</f>
        <v/>
      </c>
      <c r="L5" s="5">
        <f>H5+I5+J5-K5</f>
        <v/>
      </c>
      <c r="M5" s="5">
        <f>IFERROR(VLOOKUP(A5,従業員マスタ!$A:$I,8,0),0)</f>
        <v/>
      </c>
      <c r="N5" s="5">
        <f>IFERROR(VLOOKUP(A5,従業員マスタ!$A:$J,9,0),0)</f>
        <v/>
      </c>
      <c r="O5" s="5">
        <f>IFERROR(ROUND(L5*VLOOKUP(A5,従業員マスタ!$A:$K,10,0),0),0)</f>
        <v/>
      </c>
      <c r="P5" s="5">
        <f>IFERROR(VLOOKUP(A5,従業員マスタ!$A:$L,11,0),0)</f>
        <v/>
      </c>
      <c r="Q5" s="5">
        <f>L5-M5-N5-O5-P5</f>
        <v/>
      </c>
      <c r="R5" s="122">
        <f>IFERROR(VLOOKUP(A5,従業員マスタ!$A:$L,12,0),0)</f>
        <v/>
      </c>
      <c r="S5" s="122">
        <f>IFERROR(VLOOKUP(A5,従業員マスタ!$A:$M,13,0),0)</f>
        <v/>
      </c>
      <c r="T5" s="123" t="n">
        <v>0</v>
      </c>
      <c r="U5" s="124">
        <f>Q5-R5-S5-T5</f>
        <v/>
      </c>
    </row>
    <row r="6" ht="21.75" customHeight="1">
      <c r="A6" s="30" t="inlineStr">
        <is>
          <t>EMP003</t>
        </is>
      </c>
      <c r="B6" s="31">
        <f>IFERROR(VLOOKUP(A6,従業員マスタ!$A:$B,2,0),"")</f>
        <v/>
      </c>
      <c r="C6" s="30">
        <f>IFERROR(VLOOKUP(A6,従業員マスタ!$A:$D,4,0),"")</f>
        <v/>
      </c>
      <c r="D6" s="32">
        <f>IFERROR(VLOOKUP(A6,従業員マスタ!$A:$F,6,0),0)</f>
        <v/>
      </c>
      <c r="E6" s="33">
        <f>IFERROR(VLOOKUP(A6,月次集計!$A:$C,3,0),0)</f>
        <v/>
      </c>
      <c r="F6" s="33">
        <f>IFERROR(VLOOKUP(A6,月次集計!$A:$H,8,0),0)</f>
        <v/>
      </c>
      <c r="G6" s="33">
        <f>IFERROR(VLOOKUP(A6,月次集計!$A:$E,5,0),0)</f>
        <v/>
      </c>
      <c r="H6" s="32">
        <f>IF(C6="月給",D6,IF(C6="日給",D6*E6+IFERROR(VLOOKUP(A6,従業員マスタ!$A:$G,7,0),0)*G6*8,IF(C6="時給",IFERROR(VLOOKUP(A6,従業員マスタ!$A:$G,7,0)*(IFERROR(VLOOKUP(A6,月次集計!$A:$T,20,0),0)+G6*5),0),0)))</f>
        <v/>
      </c>
      <c r="I6" s="32">
        <f>IF(OR(A6="EMP001",A6="EMP002"),0,IF(C6="時給",0,IFERROR(VLOOKUP(A6,従業員マスタ!$A:$G,7,0)*F6*1.25,0)))</f>
        <v/>
      </c>
      <c r="J6" s="32" t="n">
        <v>0</v>
      </c>
      <c r="K6" s="32">
        <f>IF(OR(A6="EMP008",A6="EMP009",A6="EMP010",A6="EMP011",A6="EMP012",A6="EMP016"),IFERROR(VLOOKUP(A6,従業員マスタ!$A:$G,7,0)*(VLOOKUP(A6,月次集計!$A:$G,7,0)*8+VLOOKUP(A6,月次集計!$A:$I,9,0)),0),0)</f>
        <v/>
      </c>
      <c r="L6" s="32">
        <f>H6+I6+J6-K6</f>
        <v/>
      </c>
      <c r="M6" s="32">
        <f>IFERROR(VLOOKUP(A6,従業員マスタ!$A:$I,8,0),0)</f>
        <v/>
      </c>
      <c r="N6" s="32">
        <f>IFERROR(VLOOKUP(A6,従業員マスタ!$A:$J,9,0),0)</f>
        <v/>
      </c>
      <c r="O6" s="32">
        <f>IFERROR(ROUND(L6*VLOOKUP(A6,従業員マスタ!$A:$K,10,0),0),0)</f>
        <v/>
      </c>
      <c r="P6" s="32">
        <f>IFERROR(VLOOKUP(A6,従業員マスタ!$A:$L,11,0),0)</f>
        <v/>
      </c>
      <c r="Q6" s="32">
        <f>L6-M6-N6-O6-P6</f>
        <v/>
      </c>
      <c r="R6" s="122">
        <f>IFERROR(VLOOKUP(A6,従業員マスタ!$A:$L,12,0),0)</f>
        <v/>
      </c>
      <c r="S6" s="122">
        <f>IFERROR(VLOOKUP(A6,従業員マスタ!$A:$M,13,0),0)</f>
        <v/>
      </c>
      <c r="T6" s="123" t="n">
        <v>0</v>
      </c>
      <c r="U6" s="124">
        <f>Q6-R6-S6-T6</f>
        <v/>
      </c>
    </row>
    <row r="7" ht="21.75" customHeight="1">
      <c r="A7" s="2" t="inlineStr">
        <is>
          <t>EMP004</t>
        </is>
      </c>
      <c r="B7" s="3">
        <f>IFERROR(VLOOKUP(A7,従業員マスタ!$A:$B,2,0),"")</f>
        <v/>
      </c>
      <c r="C7" s="2">
        <f>IFERROR(VLOOKUP(A7,従業員マスタ!$A:$D,4,0),"")</f>
        <v/>
      </c>
      <c r="D7" s="5">
        <f>IFERROR(VLOOKUP(A7,従業員マスタ!$A:$F,6,0),0)</f>
        <v/>
      </c>
      <c r="E7" s="24">
        <f>IFERROR(VLOOKUP(A7,月次集計!$A:$C,3,0),0)</f>
        <v/>
      </c>
      <c r="F7" s="24">
        <f>IFERROR(VLOOKUP(A7,月次集計!$A:$H,8,0),0)</f>
        <v/>
      </c>
      <c r="G7" s="24">
        <f>IFERROR(VLOOKUP(A7,月次集計!$A:$E,5,0),0)</f>
        <v/>
      </c>
      <c r="H7" s="5">
        <f>IF(C7="月給",D7,IF(C7="日給",D7*E7+IFERROR(VLOOKUP(A7,従業員マスタ!$A:$G,7,0),0)*G7*8,IF(C7="時給",IFERROR(VLOOKUP(A7,従業員マスタ!$A:$G,7,0)*(IFERROR(VLOOKUP(A7,月次集計!$A:$T,20,0),0)+G7*5),0),0)))</f>
        <v/>
      </c>
      <c r="I7" s="5">
        <f>IF(OR(A7="EMP001",A7="EMP002"),0,IF(C7="時給",0,IFERROR(VLOOKUP(A7,従業員マスタ!$A:$G,7,0)*F7*1.25,0)))</f>
        <v/>
      </c>
      <c r="J7" s="5" t="n">
        <v>0</v>
      </c>
      <c r="K7" s="32">
        <f>IF(OR(A7="EMP008",A7="EMP009",A7="EMP010",A7="EMP011",A7="EMP012",A7="EMP016"),IFERROR(VLOOKUP(A7,従業員マスタ!$A:$G,7,0)*(VLOOKUP(A7,月次集計!$A:$G,7,0)*8+VLOOKUP(A7,月次集計!$A:$I,9,0)),0),0)</f>
        <v/>
      </c>
      <c r="L7" s="5">
        <f>H7+I7+J7-K7</f>
        <v/>
      </c>
      <c r="M7" s="5">
        <f>IFERROR(VLOOKUP(A7,従業員マスタ!$A:$I,8,0),0)</f>
        <v/>
      </c>
      <c r="N7" s="5">
        <f>IFERROR(VLOOKUP(A7,従業員マスタ!$A:$J,9,0),0)</f>
        <v/>
      </c>
      <c r="O7" s="5">
        <f>IFERROR(ROUND(L7*VLOOKUP(A7,従業員マスタ!$A:$K,10,0),0),0)</f>
        <v/>
      </c>
      <c r="P7" s="5">
        <f>IFERROR(VLOOKUP(A7,従業員マスタ!$A:$L,11,0),0)</f>
        <v/>
      </c>
      <c r="Q7" s="5">
        <f>L7-M7-N7-O7-P7</f>
        <v/>
      </c>
      <c r="R7" s="122">
        <f>IFERROR(VLOOKUP(A7,従業員マスタ!$A:$L,12,0),0)</f>
        <v/>
      </c>
      <c r="S7" s="122">
        <f>IFERROR(VLOOKUP(A7,従業員マスタ!$A:$M,13,0),0)</f>
        <v/>
      </c>
      <c r="T7" s="123" t="n">
        <v>0</v>
      </c>
      <c r="U7" s="124">
        <f>Q7-R7-S7-T7</f>
        <v/>
      </c>
    </row>
    <row r="8" ht="21.75" customHeight="1">
      <c r="A8" s="30" t="inlineStr">
        <is>
          <t>EMP006</t>
        </is>
      </c>
      <c r="B8" s="31">
        <f>IFERROR(VLOOKUP(A8,従業員マスタ!$A:$B,2,0),"")</f>
        <v/>
      </c>
      <c r="C8" s="30">
        <f>IFERROR(VLOOKUP(A8,従業員マスタ!$A:$D,4,0),"")</f>
        <v/>
      </c>
      <c r="D8" s="32">
        <f>IFERROR(VLOOKUP(A8,従業員マスタ!$A:$F,6,0),0)</f>
        <v/>
      </c>
      <c r="E8" s="33">
        <f>IFERROR(VLOOKUP(A8,月次集計!$A:$C,3,0),0)</f>
        <v/>
      </c>
      <c r="F8" s="33">
        <f>IFERROR(VLOOKUP(A8,月次集計!$A:$H,8,0),0)</f>
        <v/>
      </c>
      <c r="G8" s="33">
        <f>IFERROR(VLOOKUP(A8,月次集計!$A:$E,5,0),0)</f>
        <v/>
      </c>
      <c r="H8" s="32">
        <f>IF(C8="月給",D8,IF(C8="日給",D8*E8+IFERROR(VLOOKUP(A8,従業員マスタ!$A:$G,7,0),0)*G8*8,IF(C8="時給",IFERROR(VLOOKUP(A8,従業員マスタ!$A:$G,7,0)*(IFERROR(VLOOKUP(A8,月次集計!$A:$T,20,0),0)+G8*5),0),0)))</f>
        <v/>
      </c>
      <c r="I8" s="32">
        <f>IF(OR(A8="EMP001",A8="EMP002"),0,IF(C8="時給",0,IFERROR(VLOOKUP(A8,従業員マスタ!$A:$G,7,0)*F8*1.25,0)))</f>
        <v/>
      </c>
      <c r="J8" s="32" t="n">
        <v>0</v>
      </c>
      <c r="K8" s="32">
        <f>IF(OR(A8="EMP008",A8="EMP009",A8="EMP010",A8="EMP011",A8="EMP012",A8="EMP016"),IFERROR(VLOOKUP(A8,従業員マスタ!$A:$G,7,0)*(VLOOKUP(A8,月次集計!$A:$G,7,0)*8+VLOOKUP(A8,月次集計!$A:$I,9,0)),0),0)</f>
        <v/>
      </c>
      <c r="L8" s="32">
        <f>H8+I8+J8-K8</f>
        <v/>
      </c>
      <c r="M8" s="32">
        <f>IFERROR(VLOOKUP(A8,従業員マスタ!$A:$I,8,0),0)</f>
        <v/>
      </c>
      <c r="N8" s="32">
        <f>IFERROR(VLOOKUP(A8,従業員マスタ!$A:$J,9,0),0)</f>
        <v/>
      </c>
      <c r="O8" s="32">
        <f>IFERROR(ROUND(L8*VLOOKUP(A8,従業員マスタ!$A:$K,10,0),0),0)</f>
        <v/>
      </c>
      <c r="P8" s="32">
        <f>IFERROR(VLOOKUP(A8,従業員マスタ!$A:$L,11,0),0)</f>
        <v/>
      </c>
      <c r="Q8" s="32">
        <f>L8-M8-N8-O8-P8</f>
        <v/>
      </c>
      <c r="R8" s="122">
        <f>IFERROR(VLOOKUP(A8,従業員マスタ!$A:$L,12,0),0)</f>
        <v/>
      </c>
      <c r="S8" s="122">
        <f>IFERROR(VLOOKUP(A8,従業員マスタ!$A:$M,13,0),0)</f>
        <v/>
      </c>
      <c r="T8" s="123" t="n">
        <v>0</v>
      </c>
      <c r="U8" s="124">
        <f>Q8-R8-S8-T8</f>
        <v/>
      </c>
    </row>
    <row r="9" ht="21.75" customHeight="1">
      <c r="A9" s="2" t="inlineStr">
        <is>
          <t>EMP007</t>
        </is>
      </c>
      <c r="B9" s="3">
        <f>IFERROR(VLOOKUP(A9,従業員マスタ!$A:$B,2,0),"")</f>
        <v/>
      </c>
      <c r="C9" s="2">
        <f>IFERROR(VLOOKUP(A9,従業員マスタ!$A:$D,4,0),"")</f>
        <v/>
      </c>
      <c r="D9" s="5">
        <f>IFERROR(VLOOKUP(A9,従業員マスタ!$A:$F,6,0),0)</f>
        <v/>
      </c>
      <c r="E9" s="24">
        <f>IFERROR(VLOOKUP(A9,月次集計!$A:$C,3,0),0)</f>
        <v/>
      </c>
      <c r="F9" s="24">
        <f>IFERROR(VLOOKUP(A9,月次集計!$A:$H,8,0),0)</f>
        <v/>
      </c>
      <c r="G9" s="24">
        <f>IFERROR(VLOOKUP(A9,月次集計!$A:$E,5,0),0)</f>
        <v/>
      </c>
      <c r="H9" s="5">
        <f>IF(C9="月給",D9,IF(C9="日給",D9*E9+IFERROR(VLOOKUP(A9,従業員マスタ!$A:$G,7,0),0)*G9*8,IF(C9="時給",IFERROR(VLOOKUP(A9,従業員マスタ!$A:$G,7,0)*(IFERROR(VLOOKUP(A9,月次集計!$A:$T,20,0),0)+G9*5),0),0)))</f>
        <v/>
      </c>
      <c r="I9" s="5">
        <f>IF(OR(A9="EMP001",A9="EMP002"),0,IF(C9="時給",0,IFERROR(VLOOKUP(A9,従業員マスタ!$A:$G,7,0)*F9*1.25,0)))</f>
        <v/>
      </c>
      <c r="J9" s="5" t="n">
        <v>0</v>
      </c>
      <c r="K9" s="32">
        <f>IF(OR(A9="EMP008",A9="EMP009",A9="EMP010",A9="EMP011",A9="EMP012",A9="EMP016"),IFERROR(VLOOKUP(A9,従業員マスタ!$A:$G,7,0)*(VLOOKUP(A9,月次集計!$A:$G,7,0)*8+VLOOKUP(A9,月次集計!$A:$I,9,0)),0),0)</f>
        <v/>
      </c>
      <c r="L9" s="5">
        <f>H9+I9+J9-K9</f>
        <v/>
      </c>
      <c r="M9" s="5">
        <f>IFERROR(VLOOKUP(A9,従業員マスタ!$A:$I,8,0),0)</f>
        <v/>
      </c>
      <c r="N9" s="5">
        <f>IFERROR(VLOOKUP(A9,従業員マスタ!$A:$J,9,0),0)</f>
        <v/>
      </c>
      <c r="O9" s="5">
        <f>IFERROR(ROUND(L9*VLOOKUP(A9,従業員マスタ!$A:$K,10,0),0),0)</f>
        <v/>
      </c>
      <c r="P9" s="5">
        <f>IFERROR(VLOOKUP(A9,従業員マスタ!$A:$L,11,0),0)</f>
        <v/>
      </c>
      <c r="Q9" s="5">
        <f>L9-M9-N9-O9-P9</f>
        <v/>
      </c>
      <c r="R9" s="122">
        <f>IFERROR(VLOOKUP(A9,従業員マスタ!$A:$L,12,0),0)</f>
        <v/>
      </c>
      <c r="S9" s="122">
        <f>IFERROR(VLOOKUP(A9,従業員マスタ!$A:$M,13,0),0)</f>
        <v/>
      </c>
      <c r="T9" s="123" t="n">
        <v>0</v>
      </c>
      <c r="U9" s="124">
        <f>Q9-R9-S9-T9</f>
        <v/>
      </c>
    </row>
    <row r="10" ht="21.75" customHeight="1">
      <c r="A10" s="30" t="inlineStr">
        <is>
          <t>EMP008</t>
        </is>
      </c>
      <c r="B10" s="31">
        <f>IFERROR(VLOOKUP(A10,従業員マスタ!$A:$B,2,0),"")</f>
        <v/>
      </c>
      <c r="C10" s="30">
        <f>IFERROR(VLOOKUP(A10,従業員マスタ!$A:$D,4,0),"")</f>
        <v/>
      </c>
      <c r="D10" s="32">
        <f>IFERROR(VLOOKUP(A10,従業員マスタ!$A:$F,6,0),0)</f>
        <v/>
      </c>
      <c r="E10" s="33">
        <f>IFERROR(VLOOKUP(A10,月次集計!$A:$C,3,0),0)</f>
        <v/>
      </c>
      <c r="F10" s="33">
        <f>IFERROR(VLOOKUP(A10,月次集計!$A:$H,8,0),0)</f>
        <v/>
      </c>
      <c r="G10" s="33">
        <f>IFERROR(VLOOKUP(A10,月次集計!$A:$E,5,0),0)</f>
        <v/>
      </c>
      <c r="H10" s="32">
        <f>IF(C10="月給",D10,IF(C10="日給",D10*E10+IFERROR(VLOOKUP(A10,従業員マスタ!$A:$G,7,0),0)*G10*8,IF(C10="時給",IFERROR(VLOOKUP(A10,従業員マスタ!$A:$G,7,0)*(IFERROR(VLOOKUP(A10,月次集計!$A:$T,20,0),0)+G10*5),0),0)))</f>
        <v/>
      </c>
      <c r="I10" s="32">
        <f>IF(OR(A10="EMP001",A10="EMP002"),0,IF(C10="時給",0,IFERROR(VLOOKUP(A10,従業員マスタ!$A:$G,7,0)*F10*1.25,0)))</f>
        <v/>
      </c>
      <c r="J10" s="32" t="n">
        <v>0</v>
      </c>
      <c r="K10" s="32">
        <f>IF(OR(A10="EMP008",A10="EMP009",A10="EMP010",A10="EMP011",A10="EMP012",A10="EMP016"),IFERROR(VLOOKUP(A10,従業員マスタ!$A:$G,7,0)*(VLOOKUP(A10,月次集計!$A:$G,7,0)*8+VLOOKUP(A10,月次集計!$A:$I,9,0)),0),0)</f>
        <v/>
      </c>
      <c r="L10" s="32">
        <f>H10+I10+J10-K10</f>
        <v/>
      </c>
      <c r="M10" s="32">
        <f>IFERROR(VLOOKUP(A10,従業員マスタ!$A:$I,8,0),0)</f>
        <v/>
      </c>
      <c r="N10" s="32">
        <f>IFERROR(VLOOKUP(A10,従業員マスタ!$A:$J,9,0),0)</f>
        <v/>
      </c>
      <c r="O10" s="32">
        <f>IFERROR(ROUND(L10*VLOOKUP(A10,従業員マスタ!$A:$K,10,0),0),0)</f>
        <v/>
      </c>
      <c r="P10" s="32">
        <f>IFERROR(VLOOKUP(A10,従業員マスタ!$A:$L,11,0),0)</f>
        <v/>
      </c>
      <c r="Q10" s="32">
        <f>L10-M10-N10-O10-P10</f>
        <v/>
      </c>
      <c r="R10" s="122">
        <f>IFERROR(VLOOKUP(A10,従業員マスタ!$A:$L,12,0),0)</f>
        <v/>
      </c>
      <c r="S10" s="122">
        <f>IFERROR(VLOOKUP(A10,従業員マスタ!$A:$M,13,0),0)</f>
        <v/>
      </c>
      <c r="T10" s="123" t="n">
        <v>0</v>
      </c>
      <c r="U10" s="124">
        <f>Q10-R10-S10-T10</f>
        <v/>
      </c>
    </row>
    <row r="11" ht="21.75" customHeight="1">
      <c r="A11" s="2" t="inlineStr">
        <is>
          <t>EMP009</t>
        </is>
      </c>
      <c r="B11" s="3">
        <f>IFERROR(VLOOKUP(A11,従業員マスタ!$A:$B,2,0),"")</f>
        <v/>
      </c>
      <c r="C11" s="2">
        <f>IFERROR(VLOOKUP(A11,従業員マスタ!$A:$D,4,0),"")</f>
        <v/>
      </c>
      <c r="D11" s="5">
        <f>IFERROR(VLOOKUP(A11,従業員マスタ!$A:$F,6,0),0)</f>
        <v/>
      </c>
      <c r="E11" s="24">
        <f>IFERROR(VLOOKUP(A11,月次集計!$A:$C,3,0),0)</f>
        <v/>
      </c>
      <c r="F11" s="24">
        <f>IFERROR(VLOOKUP(A11,月次集計!$A:$H,8,0),0)</f>
        <v/>
      </c>
      <c r="G11" s="24">
        <f>IFERROR(VLOOKUP(A11,月次集計!$A:$E,5,0),0)</f>
        <v/>
      </c>
      <c r="H11" s="5">
        <f>IF(C11="月給",D11,IF(C11="日給",D11*E11+IFERROR(VLOOKUP(A11,従業員マスタ!$A:$G,7,0),0)*G11*8,IF(C11="時給",IFERROR(VLOOKUP(A11,従業員マスタ!$A:$G,7,0)*(IFERROR(VLOOKUP(A11,月次集計!$A:$T,20,0),0)+G11*5),0),0)))</f>
        <v/>
      </c>
      <c r="I11" s="5">
        <f>IF(OR(A11="EMP001",A11="EMP002"),0,IF(C11="時給",0,IFERROR(VLOOKUP(A11,従業員マスタ!$A:$G,7,0)*F11*1.25,0)))</f>
        <v/>
      </c>
      <c r="J11" s="5" t="n">
        <v>0</v>
      </c>
      <c r="K11" s="32">
        <f>IF(OR(A11="EMP008",A11="EMP009",A11="EMP010",A11="EMP011",A11="EMP012",A11="EMP016"),IFERROR(VLOOKUP(A11,従業員マスタ!$A:$G,7,0)*(VLOOKUP(A11,月次集計!$A:$G,7,0)*8+VLOOKUP(A11,月次集計!$A:$I,9,0)),0),0)</f>
        <v/>
      </c>
      <c r="L11" s="5">
        <f>H11+I11+J11-K11</f>
        <v/>
      </c>
      <c r="M11" s="5">
        <f>IFERROR(VLOOKUP(A11,従業員マスタ!$A:$I,8,0),0)</f>
        <v/>
      </c>
      <c r="N11" s="5">
        <f>IFERROR(VLOOKUP(A11,従業員マスタ!$A:$J,9,0),0)</f>
        <v/>
      </c>
      <c r="O11" s="5">
        <f>IFERROR(ROUND(L11*VLOOKUP(A11,従業員マスタ!$A:$K,10,0),0),0)</f>
        <v/>
      </c>
      <c r="P11" s="5">
        <f>IFERROR(VLOOKUP(A11,従業員マスタ!$A:$L,11,0),0)</f>
        <v/>
      </c>
      <c r="Q11" s="5">
        <f>L11-M11-N11-O11-P11</f>
        <v/>
      </c>
      <c r="R11" s="122">
        <f>IFERROR(VLOOKUP(A11,従業員マスタ!$A:$L,12,0),0)</f>
        <v/>
      </c>
      <c r="S11" s="122">
        <f>IFERROR(VLOOKUP(A11,従業員マスタ!$A:$M,13,0),0)</f>
        <v/>
      </c>
      <c r="T11" s="123" t="n">
        <v>0</v>
      </c>
      <c r="U11" s="124">
        <f>Q11-R11-S11-T11</f>
        <v/>
      </c>
    </row>
    <row r="12" ht="21.75" customHeight="1">
      <c r="A12" s="30" t="inlineStr">
        <is>
          <t>EMP010</t>
        </is>
      </c>
      <c r="B12" s="31">
        <f>IFERROR(VLOOKUP(A12,従業員マスタ!$A:$B,2,0),"")</f>
        <v/>
      </c>
      <c r="C12" s="30">
        <f>IFERROR(VLOOKUP(A12,従業員マスタ!$A:$D,4,0),"")</f>
        <v/>
      </c>
      <c r="D12" s="32">
        <f>IFERROR(VLOOKUP(A12,従業員マスタ!$A:$F,6,0),0)</f>
        <v/>
      </c>
      <c r="E12" s="33">
        <f>IFERROR(VLOOKUP(A12,月次集計!$A:$C,3,0),0)</f>
        <v/>
      </c>
      <c r="F12" s="33">
        <f>IFERROR(VLOOKUP(A12,月次集計!$A:$H,8,0),0)</f>
        <v/>
      </c>
      <c r="G12" s="33">
        <f>IFERROR(VLOOKUP(A12,月次集計!$A:$E,5,0),0)</f>
        <v/>
      </c>
      <c r="H12" s="32">
        <f>IF(C12="月給",D12,IF(C12="日給",D12*E12+IFERROR(VLOOKUP(A12,従業員マスタ!$A:$G,7,0),0)*G12*8,IF(C12="時給",IFERROR(VLOOKUP(A12,従業員マスタ!$A:$G,7,0)*(IFERROR(VLOOKUP(A12,月次集計!$A:$T,20,0),0)+G12*5),0),0)))</f>
        <v/>
      </c>
      <c r="I12" s="32">
        <f>IF(OR(A12="EMP001",A12="EMP002"),0,IF(C12="時給",0,IFERROR(VLOOKUP(A12,従業員マスタ!$A:$G,7,0)*F12*1.25,0)))</f>
        <v/>
      </c>
      <c r="J12" s="32" t="n">
        <v>0</v>
      </c>
      <c r="K12" s="32">
        <f>IF(OR(A12="EMP008",A12="EMP009",A12="EMP010",A12="EMP011",A12="EMP012",A12="EMP016"),IFERROR(VLOOKUP(A12,従業員マスタ!$A:$G,7,0)*(VLOOKUP(A12,月次集計!$A:$G,7,0)*8+VLOOKUP(A12,月次集計!$A:$I,9,0)),0),0)</f>
        <v/>
      </c>
      <c r="L12" s="32">
        <f>H12+I12+J12-K12</f>
        <v/>
      </c>
      <c r="M12" s="32">
        <f>IFERROR(VLOOKUP(A12,従業員マスタ!$A:$I,8,0),0)</f>
        <v/>
      </c>
      <c r="N12" s="32">
        <f>IFERROR(VLOOKUP(A12,従業員マスタ!$A:$J,9,0),0)</f>
        <v/>
      </c>
      <c r="O12" s="32">
        <f>IFERROR(ROUND(L12*VLOOKUP(A12,従業員マスタ!$A:$K,10,0),0),0)</f>
        <v/>
      </c>
      <c r="P12" s="32">
        <f>IFERROR(VLOOKUP(A12,従業員マスタ!$A:$L,11,0),0)</f>
        <v/>
      </c>
      <c r="Q12" s="32">
        <f>L12-M12-N12-O12-P12</f>
        <v/>
      </c>
      <c r="R12" s="122">
        <f>IFERROR(VLOOKUP(A12,従業員マスタ!$A:$L,12,0),0)</f>
        <v/>
      </c>
      <c r="S12" s="122">
        <f>IFERROR(VLOOKUP(A12,従業員マスタ!$A:$M,13,0),0)</f>
        <v/>
      </c>
      <c r="T12" s="123" t="n">
        <v>0</v>
      </c>
      <c r="U12" s="124">
        <f>Q12-R12-S12-T12</f>
        <v/>
      </c>
    </row>
    <row r="13" ht="21.75" customHeight="1">
      <c r="A13" s="2" t="inlineStr">
        <is>
          <t>EMP011</t>
        </is>
      </c>
      <c r="B13" s="3">
        <f>IFERROR(VLOOKUP(A13,従業員マスタ!$A:$B,2,0),"")</f>
        <v/>
      </c>
      <c r="C13" s="2">
        <f>IFERROR(VLOOKUP(A13,従業員マスタ!$A:$D,4,0),"")</f>
        <v/>
      </c>
      <c r="D13" s="5">
        <f>IFERROR(VLOOKUP(A13,従業員マスタ!$A:$F,6,0),0)</f>
        <v/>
      </c>
      <c r="E13" s="24">
        <f>IFERROR(VLOOKUP(A13,月次集計!$A:$C,3,0),0)</f>
        <v/>
      </c>
      <c r="F13" s="24">
        <f>IFERROR(VLOOKUP(A13,月次集計!$A:$H,8,0),0)</f>
        <v/>
      </c>
      <c r="G13" s="24">
        <f>IFERROR(VLOOKUP(A13,月次集計!$A:$E,5,0),0)</f>
        <v/>
      </c>
      <c r="H13" s="5">
        <f>IF(C13="月給",D13,IF(C13="日給",D13*E13+IFERROR(VLOOKUP(A13,従業員マスタ!$A:$G,7,0),0)*G13*8,IF(C13="時給",IFERROR(VLOOKUP(A13,従業員マスタ!$A:$G,7,0)*(IFERROR(VLOOKUP(A13,月次集計!$A:$T,20,0),0)+G13*5),0),0)))</f>
        <v/>
      </c>
      <c r="I13" s="5">
        <f>IF(OR(A13="EMP001",A13="EMP002"),0,IF(C13="時給",0,IFERROR(VLOOKUP(A13,従業員マスタ!$A:$G,7,0)*F13*1.25,0)))</f>
        <v/>
      </c>
      <c r="J13" s="5" t="n">
        <v>0</v>
      </c>
      <c r="K13" s="32">
        <f>IF(OR(A13="EMP008",A13="EMP009",A13="EMP010",A13="EMP011",A13="EMP012",A13="EMP016"),IFERROR(VLOOKUP(A13,従業員マスタ!$A:$G,7,0)*(VLOOKUP(A13,月次集計!$A:$G,7,0)*8+VLOOKUP(A13,月次集計!$A:$I,9,0)),0),0)</f>
        <v/>
      </c>
      <c r="L13" s="5">
        <f>H13+I13+J13-K13</f>
        <v/>
      </c>
      <c r="M13" s="5">
        <f>IFERROR(VLOOKUP(A13,従業員マスタ!$A:$I,8,0),0)</f>
        <v/>
      </c>
      <c r="N13" s="5">
        <f>IFERROR(VLOOKUP(A13,従業員マスタ!$A:$J,9,0),0)</f>
        <v/>
      </c>
      <c r="O13" s="5">
        <f>IFERROR(ROUND(L13*VLOOKUP(A13,従業員マスタ!$A:$K,10,0),0),0)</f>
        <v/>
      </c>
      <c r="P13" s="5">
        <f>IFERROR(VLOOKUP(A13,従業員マスタ!$A:$L,11,0),0)</f>
        <v/>
      </c>
      <c r="Q13" s="5">
        <f>L13-M13-N13-O13-P13</f>
        <v/>
      </c>
      <c r="R13" s="122">
        <f>IFERROR(VLOOKUP(A13,従業員マスタ!$A:$L,12,0),0)</f>
        <v/>
      </c>
      <c r="S13" s="122">
        <f>IFERROR(VLOOKUP(A13,従業員マスタ!$A:$M,13,0),0)</f>
        <v/>
      </c>
      <c r="T13" s="123" t="n">
        <v>0</v>
      </c>
      <c r="U13" s="124">
        <f>Q13-R13-S13-T13</f>
        <v/>
      </c>
    </row>
    <row r="14" ht="21.75" customHeight="1">
      <c r="A14" s="30" t="inlineStr">
        <is>
          <t>EMP012</t>
        </is>
      </c>
      <c r="B14" s="31">
        <f>IFERROR(VLOOKUP(A14,従業員マスタ!$A:$B,2,0),"")</f>
        <v/>
      </c>
      <c r="C14" s="30">
        <f>IFERROR(VLOOKUP(A14,従業員マスタ!$A:$D,4,0),"")</f>
        <v/>
      </c>
      <c r="D14" s="32">
        <f>IFERROR(VLOOKUP(A14,従業員マスタ!$A:$F,6,0),0)</f>
        <v/>
      </c>
      <c r="E14" s="33">
        <f>IFERROR(VLOOKUP(A14,月次集計!$A:$C,3,0),0)</f>
        <v/>
      </c>
      <c r="F14" s="33">
        <f>IFERROR(VLOOKUP(A14,月次集計!$A:$H,8,0),0)</f>
        <v/>
      </c>
      <c r="G14" s="33">
        <f>IFERROR(VLOOKUP(A14,月次集計!$A:$E,5,0),0)</f>
        <v/>
      </c>
      <c r="H14" s="32">
        <f>IF(C14="月給",D14,IF(C14="日給",D14*E14+IFERROR(VLOOKUP(A14,従業員マスタ!$A:$G,7,0),0)*G14*8,IF(C14="時給",IFERROR(VLOOKUP(A14,従業員マスタ!$A:$G,7,0)*(IFERROR(VLOOKUP(A14,月次集計!$A:$T,20,0),0)+G14*5),0),0)))</f>
        <v/>
      </c>
      <c r="I14" s="32">
        <f>IF(OR(A14="EMP001",A14="EMP002"),0,IF(C14="時給",0,IFERROR(VLOOKUP(A14,従業員マスタ!$A:$G,7,0)*F14*1.25,0)))</f>
        <v/>
      </c>
      <c r="J14" s="32" t="n">
        <v>0</v>
      </c>
      <c r="K14" s="32">
        <f>IF(OR(A14="EMP008",A14="EMP009",A14="EMP010",A14="EMP011",A14="EMP012",A14="EMP016"),IFERROR(VLOOKUP(A14,従業員マスタ!$A:$G,7,0)*(VLOOKUP(A14,月次集計!$A:$G,7,0)*8+VLOOKUP(A14,月次集計!$A:$I,9,0)),0),0)</f>
        <v/>
      </c>
      <c r="L14" s="32">
        <f>H14+I14+J14-K14</f>
        <v/>
      </c>
      <c r="M14" s="32">
        <f>IFERROR(VLOOKUP(A14,従業員マスタ!$A:$I,8,0),0)</f>
        <v/>
      </c>
      <c r="N14" s="32">
        <f>IFERROR(VLOOKUP(A14,従業員マスタ!$A:$J,9,0),0)</f>
        <v/>
      </c>
      <c r="O14" s="32">
        <f>IFERROR(ROUND(L14*VLOOKUP(A14,従業員マスタ!$A:$K,10,0),0),0)</f>
        <v/>
      </c>
      <c r="P14" s="32">
        <f>IFERROR(VLOOKUP(A14,従業員マスタ!$A:$L,11,0),0)</f>
        <v/>
      </c>
      <c r="Q14" s="32">
        <f>L14-M14-N14-O14-P14</f>
        <v/>
      </c>
      <c r="R14" s="122">
        <f>IFERROR(VLOOKUP(A14,従業員マスタ!$A:$L,12,0),0)</f>
        <v/>
      </c>
      <c r="S14" s="122">
        <f>IFERROR(VLOOKUP(A14,従業員マスタ!$A:$M,13,0),0)</f>
        <v/>
      </c>
      <c r="T14" s="123" t="n">
        <v>0</v>
      </c>
      <c r="U14" s="124">
        <f>Q14-R14-S14-T14</f>
        <v/>
      </c>
    </row>
    <row r="15" ht="21.75" customHeight="1">
      <c r="A15" s="2" t="inlineStr">
        <is>
          <t>EMP013</t>
        </is>
      </c>
      <c r="B15" s="3">
        <f>IFERROR(VLOOKUP(A15,従業員マスタ!$A:$B,2,0),"")</f>
        <v/>
      </c>
      <c r="C15" s="2">
        <f>IFERROR(VLOOKUP(A15,従業員マスタ!$A:$D,4,0),"")</f>
        <v/>
      </c>
      <c r="D15" s="5">
        <f>IFERROR(VLOOKUP(A15,従業員マスタ!$A:$F,6,0),0)</f>
        <v/>
      </c>
      <c r="E15" s="24">
        <f>IFERROR(VLOOKUP(A15,月次集計!$A:$C,3,0),0)</f>
        <v/>
      </c>
      <c r="F15" s="24">
        <f>IFERROR(VLOOKUP(A15,月次集計!$A:$H,8,0),0)</f>
        <v/>
      </c>
      <c r="G15" s="24">
        <f>IFERROR(VLOOKUP(A15,月次集計!$A:$E,5,0),0)</f>
        <v/>
      </c>
      <c r="H15" s="5">
        <f>IF(C15="月給",D15,IF(C15="日給",D15*E15+IFERROR(VLOOKUP(A15,従業員マスタ!$A:$G,7,0),0)*G15*8,IF(C15="時給",IFERROR(VLOOKUP(A15,従業員マスタ!$A:$G,7,0)*(IFERROR(VLOOKUP(A15,月次集計!$A:$T,20,0),0)+G15*5),0),0)))</f>
        <v/>
      </c>
      <c r="I15" s="5">
        <f>IF(OR(A15="EMP001",A15="EMP002"),0,IF(C15="時給",0,IFERROR(VLOOKUP(A15,従業員マスタ!$A:$G,7,0)*F15*1.25,0)))</f>
        <v/>
      </c>
      <c r="J15" s="5" t="n">
        <v>0</v>
      </c>
      <c r="K15" s="32">
        <f>IF(OR(A15="EMP008",A15="EMP009",A15="EMP010",A15="EMP011",A15="EMP012",A15="EMP016"),IFERROR(VLOOKUP(A15,従業員マスタ!$A:$G,7,0)*(VLOOKUP(A15,月次集計!$A:$G,7,0)*8+VLOOKUP(A15,月次集計!$A:$I,9,0)),0),0)</f>
        <v/>
      </c>
      <c r="L15" s="5">
        <f>H15+I15+J15-K15</f>
        <v/>
      </c>
      <c r="M15" s="5">
        <f>IFERROR(VLOOKUP(A15,従業員マスタ!$A:$I,8,0),0)</f>
        <v/>
      </c>
      <c r="N15" s="5">
        <f>IFERROR(VLOOKUP(A15,従業員マスタ!$A:$J,9,0),0)</f>
        <v/>
      </c>
      <c r="O15" s="5">
        <f>IFERROR(ROUND(L15*VLOOKUP(A15,従業員マスタ!$A:$K,10,0),0),0)</f>
        <v/>
      </c>
      <c r="P15" s="5">
        <f>IFERROR(VLOOKUP(A15,従業員マスタ!$A:$L,11,0),0)</f>
        <v/>
      </c>
      <c r="Q15" s="5">
        <f>L15-M15-N15-O15-P15</f>
        <v/>
      </c>
      <c r="R15" s="122">
        <f>IFERROR(VLOOKUP(A15,従業員マスタ!$A:$L,12,0),0)</f>
        <v/>
      </c>
      <c r="S15" s="122">
        <f>IFERROR(VLOOKUP(A15,従業員マスタ!$A:$M,13,0),0)</f>
        <v/>
      </c>
      <c r="T15" s="123" t="n">
        <v>0</v>
      </c>
      <c r="U15" s="124">
        <f>Q15-R15-S15-T15</f>
        <v/>
      </c>
    </row>
    <row r="16" ht="21.75" customHeight="1">
      <c r="A16" s="30" t="inlineStr">
        <is>
          <t>EMP014</t>
        </is>
      </c>
      <c r="B16" s="31">
        <f>IFERROR(VLOOKUP(A16,従業員マスタ!$A:$B,2,0),"")</f>
        <v/>
      </c>
      <c r="C16" s="30">
        <f>IFERROR(VLOOKUP(A16,従業員マスタ!$A:$D,4,0),"")</f>
        <v/>
      </c>
      <c r="D16" s="32">
        <f>IFERROR(VLOOKUP(A16,従業員マスタ!$A:$F,6,0),0)</f>
        <v/>
      </c>
      <c r="E16" s="33">
        <f>IFERROR(VLOOKUP(A16,月次集計!$A:$C,3,0),0)</f>
        <v/>
      </c>
      <c r="F16" s="33">
        <f>IFERROR(VLOOKUP(A16,月次集計!$A:$H,8,0),0)</f>
        <v/>
      </c>
      <c r="G16" s="33">
        <f>IFERROR(VLOOKUP(A16,月次集計!$A:$E,5,0),0)</f>
        <v/>
      </c>
      <c r="H16" s="32">
        <f>IF(C16="月給",D16,IF(C16="日給",D16*E16+IFERROR(VLOOKUP(A16,従業員マスタ!$A:$G,7,0),0)*G16*8,IF(C16="時給",IFERROR(VLOOKUP(A16,従業員マスタ!$A:$G,7,0)*(IFERROR(VLOOKUP(A16,月次集計!$A:$T,20,0),0)+G16*5),0),0)))</f>
        <v/>
      </c>
      <c r="I16" s="32">
        <f>IF(OR(A16="EMP001",A16="EMP002"),0,IF(C16="時給",0,IFERROR(VLOOKUP(A16,従業員マスタ!$A:$G,7,0)*F16*1.25,0)))</f>
        <v/>
      </c>
      <c r="J16" s="32" t="n">
        <v>0</v>
      </c>
      <c r="K16" s="32">
        <f>IF(OR(A16="EMP008",A16="EMP009",A16="EMP010",A16="EMP011",A16="EMP012",A16="EMP016"),IFERROR(VLOOKUP(A16,従業員マスタ!$A:$G,7,0)*(VLOOKUP(A16,月次集計!$A:$G,7,0)*8+VLOOKUP(A16,月次集計!$A:$I,9,0)),0),0)</f>
        <v/>
      </c>
      <c r="L16" s="32">
        <f>H16+I16+J16-K16</f>
        <v/>
      </c>
      <c r="M16" s="32">
        <f>IFERROR(VLOOKUP(A16,従業員マスタ!$A:$I,8,0),0)</f>
        <v/>
      </c>
      <c r="N16" s="32">
        <f>IFERROR(VLOOKUP(A16,従業員マスタ!$A:$J,9,0),0)</f>
        <v/>
      </c>
      <c r="O16" s="32">
        <f>IFERROR(ROUND(L16*VLOOKUP(A16,従業員マスタ!$A:$K,10,0),0),0)</f>
        <v/>
      </c>
      <c r="P16" s="32">
        <f>IFERROR(VLOOKUP(A16,従業員マスタ!$A:$L,11,0),0)</f>
        <v/>
      </c>
      <c r="Q16" s="32">
        <f>L16-M16-N16-O16-P16</f>
        <v/>
      </c>
      <c r="R16" s="122">
        <f>IFERROR(VLOOKUP(A16,従業員マスタ!$A:$L,12,0),0)</f>
        <v/>
      </c>
      <c r="S16" s="122">
        <f>IFERROR(VLOOKUP(A16,従業員マスタ!$A:$M,13,0),0)</f>
        <v/>
      </c>
      <c r="T16" s="123" t="n">
        <v>0</v>
      </c>
      <c r="U16" s="124">
        <f>Q16-R16-S16-T16</f>
        <v/>
      </c>
    </row>
    <row r="17" ht="21.75" customHeight="1">
      <c r="A17" s="2" t="inlineStr">
        <is>
          <t>EMP015</t>
        </is>
      </c>
      <c r="B17" s="3">
        <f>IFERROR(VLOOKUP(A17,従業員マスタ!$A:$B,2,0),"")</f>
        <v/>
      </c>
      <c r="C17" s="2">
        <f>IFERROR(VLOOKUP(A17,従業員マスタ!$A:$D,4,0),"")</f>
        <v/>
      </c>
      <c r="D17" s="5">
        <f>IFERROR(VLOOKUP(A17,従業員マスタ!$A:$F,6,0),0)</f>
        <v/>
      </c>
      <c r="E17" s="24">
        <f>IFERROR(VLOOKUP(A17,月次集計!$A:$C,3,0),0)</f>
        <v/>
      </c>
      <c r="F17" s="24">
        <f>IFERROR(VLOOKUP(A17,月次集計!$A:$H,8,0),0)</f>
        <v/>
      </c>
      <c r="G17" s="24">
        <f>IFERROR(VLOOKUP(A17,月次集計!$A:$E,5,0),0)</f>
        <v/>
      </c>
      <c r="H17" s="5">
        <f>IF(C17="月給",D17,IF(C17="日給",D17*E17+IFERROR(VLOOKUP(A17,従業員マスタ!$A:$G,7,0),0)*G17*8,IF(C17="時給",IFERROR(VLOOKUP(A17,従業員マスタ!$A:$G,7,0)*(IFERROR(VLOOKUP(A17,月次集計!$A:$T,20,0),0)+G17*5),0),0)))</f>
        <v/>
      </c>
      <c r="I17" s="5">
        <f>IF(OR(A17="EMP001",A17="EMP002"),0,IF(C17="時給",0,IFERROR(VLOOKUP(A17,従業員マスタ!$A:$G,7,0)*F17*1.25,0)))</f>
        <v/>
      </c>
      <c r="J17" s="5" t="n">
        <v>0</v>
      </c>
      <c r="K17" s="32">
        <f>IF(OR(A17="EMP008",A17="EMP009",A17="EMP010",A17="EMP011",A17="EMP012",A17="EMP016"),IFERROR(VLOOKUP(A17,従業員マスタ!$A:$G,7,0)*(VLOOKUP(A17,月次集計!$A:$G,7,0)*8+VLOOKUP(A17,月次集計!$A:$I,9,0)),0),0)</f>
        <v/>
      </c>
      <c r="L17" s="5">
        <f>H17+I17+J17-K17</f>
        <v/>
      </c>
      <c r="M17" s="5">
        <f>IFERROR(VLOOKUP(A17,従業員マスタ!$A:$I,8,0),0)</f>
        <v/>
      </c>
      <c r="N17" s="5">
        <f>IFERROR(VLOOKUP(A17,従業員マスタ!$A:$J,9,0),0)</f>
        <v/>
      </c>
      <c r="O17" s="5">
        <f>IFERROR(ROUND(L17*VLOOKUP(A17,従業員マスタ!$A:$K,10,0),0),0)</f>
        <v/>
      </c>
      <c r="P17" s="5">
        <f>IFERROR(VLOOKUP(A17,従業員マスタ!$A:$L,11,0),0)</f>
        <v/>
      </c>
      <c r="Q17" s="5">
        <f>L17-M17-N17-O17-P17</f>
        <v/>
      </c>
      <c r="R17" s="122">
        <f>IFERROR(VLOOKUP(A17,従業員マスタ!$A:$L,12,0),0)</f>
        <v/>
      </c>
      <c r="S17" s="122">
        <f>IFERROR(VLOOKUP(A17,従業員マスタ!$A:$M,13,0),0)</f>
        <v/>
      </c>
      <c r="T17" s="123" t="n">
        <v>0</v>
      </c>
      <c r="U17" s="124">
        <f>Q17-R17-S17-T17</f>
        <v/>
      </c>
    </row>
    <row r="18" ht="21.75" customHeight="1">
      <c r="A18" s="30" t="inlineStr">
        <is>
          <t>EMP016</t>
        </is>
      </c>
      <c r="B18" s="31">
        <f>IFERROR(VLOOKUP(A18,従業員マスタ!$A:$B,2,0),"")</f>
        <v/>
      </c>
      <c r="C18" s="30">
        <f>IFERROR(VLOOKUP(A18,従業員マスタ!$A:$D,4,0),"")</f>
        <v/>
      </c>
      <c r="D18" s="32">
        <f>IFERROR(VLOOKUP(A18,従業員マスタ!$A:$F,6,0),0)</f>
        <v/>
      </c>
      <c r="E18" s="33">
        <f>IFERROR(VLOOKUP(A18,月次集計!$A:$C,3,0),0)</f>
        <v/>
      </c>
      <c r="F18" s="33">
        <f>IFERROR(VLOOKUP(A18,月次集計!$A:$H,8,0),0)</f>
        <v/>
      </c>
      <c r="G18" s="33">
        <f>IFERROR(VLOOKUP(A18,月次集計!$A:$E,5,0),0)</f>
        <v/>
      </c>
      <c r="H18" s="32">
        <f>IF(C18="月給",D18,IF(C18="日給",D18*E18+IFERROR(VLOOKUP(A18,従業員マスタ!$A:$G,7,0),0)*G18*8,IF(C18="時給",IFERROR(VLOOKUP(A18,従業員マスタ!$A:$G,7,0)*(IFERROR(VLOOKUP(A18,月次集計!$A:$T,20,0),0)+G18*5),0),0)))</f>
        <v/>
      </c>
      <c r="I18" s="32">
        <f>IF(OR(A18="EMP001",A18="EMP002"),0,IF(C18="時給",0,IFERROR(VLOOKUP(A18,従業員マスタ!$A:$G,7,0)*F18*1.25,0)))</f>
        <v/>
      </c>
      <c r="J18" s="32" t="n">
        <v>0</v>
      </c>
      <c r="K18" s="32">
        <f>IF(OR(A18="EMP008",A18="EMP009",A18="EMP010",A18="EMP011",A18="EMP012",A18="EMP016"),IFERROR(VLOOKUP(A18,従業員マスタ!$A:$G,7,0)*(VLOOKUP(A18,月次集計!$A:$G,7,0)*8+VLOOKUP(A18,月次集計!$A:$I,9,0)),0),0)</f>
        <v/>
      </c>
      <c r="L18" s="32">
        <f>H18+I18+J18-K18</f>
        <v/>
      </c>
      <c r="M18" s="32">
        <f>IFERROR(VLOOKUP(A18,従業員マスタ!$A:$I,8,0),0)</f>
        <v/>
      </c>
      <c r="N18" s="32">
        <f>IFERROR(VLOOKUP(A18,従業員マスタ!$A:$J,9,0),0)</f>
        <v/>
      </c>
      <c r="O18" s="32">
        <f>IFERROR(ROUND(L18*VLOOKUP(A18,従業員マスタ!$A:$K,10,0),0),0)</f>
        <v/>
      </c>
      <c r="P18" s="32">
        <f>IFERROR(VLOOKUP(A18,従業員マスタ!$A:$L,11,0),0)</f>
        <v/>
      </c>
      <c r="Q18" s="32">
        <f>L18-M18-N18-O18-P18</f>
        <v/>
      </c>
      <c r="R18" s="122">
        <f>IFERROR(VLOOKUP(A18,従業員マスタ!$A:$L,12,0),0)</f>
        <v/>
      </c>
      <c r="S18" s="122">
        <f>IFERROR(VLOOKUP(A18,従業員マスタ!$A:$M,13,0),0)</f>
        <v/>
      </c>
      <c r="T18" s="123" t="n">
        <v>0</v>
      </c>
      <c r="U18" s="124">
        <f>Q18-R18-S18-T18</f>
        <v/>
      </c>
    </row>
    <row r="19" ht="21.75" customHeight="1">
      <c r="A19" s="2" t="inlineStr">
        <is>
          <t>EMP017</t>
        </is>
      </c>
      <c r="B19" s="3">
        <f>IFERROR(VLOOKUP(A19,従業員マスタ!$A:$B,2,0),"")</f>
        <v/>
      </c>
      <c r="C19" s="2">
        <f>IFERROR(VLOOKUP(A19,従業員マスタ!$A:$D,4,0),"")</f>
        <v/>
      </c>
      <c r="D19" s="5">
        <f>IFERROR(VLOOKUP(A19,従業員マスタ!$A:$F,6,0),0)</f>
        <v/>
      </c>
      <c r="E19" s="24">
        <f>IFERROR(VLOOKUP(A19,月次集計!$A:$C,3,0),0)</f>
        <v/>
      </c>
      <c r="F19" s="24">
        <f>IFERROR(VLOOKUP(A19,月次集計!$A:$H,8,0),0)</f>
        <v/>
      </c>
      <c r="G19" s="24">
        <f>IFERROR(VLOOKUP(A19,月次集計!$A:$E,5,0),0)</f>
        <v/>
      </c>
      <c r="H19" s="5">
        <f>IF(C19="月給",D19,IF(C19="日給",D19*E19+IFERROR(VLOOKUP(A19,従業員マスタ!$A:$G,7,0),0)*G19*8,IF(C19="時給",IFERROR(VLOOKUP(A19,従業員マスタ!$A:$G,7,0)*(IFERROR(VLOOKUP(A19,月次集計!$A:$T,20,0),0)+G19*5),0),0)))</f>
        <v/>
      </c>
      <c r="I19" s="5">
        <f>IF(OR(A19="EMP001",A19="EMP002"),0,IF(C19="時給",0,IFERROR(VLOOKUP(A19,従業員マスタ!$A:$G,7,0)*F19*1.25,0)))</f>
        <v/>
      </c>
      <c r="J19" s="5" t="n">
        <v>0</v>
      </c>
      <c r="K19" s="32">
        <f>IF(OR(A19="EMP008",A19="EMP009",A19="EMP010",A19="EMP011",A19="EMP012",A19="EMP016"),IFERROR(VLOOKUP(A19,従業員マスタ!$A:$G,7,0)*(VLOOKUP(A19,月次集計!$A:$G,7,0)*8+VLOOKUP(A19,月次集計!$A:$I,9,0)),0),0)</f>
        <v/>
      </c>
      <c r="L19" s="5">
        <f>H19+I19+J19-K19</f>
        <v/>
      </c>
      <c r="M19" s="5">
        <f>IFERROR(VLOOKUP(A19,従業員マスタ!$A:$I,8,0),0)</f>
        <v/>
      </c>
      <c r="N19" s="5">
        <f>IFERROR(VLOOKUP(A19,従業員マスタ!$A:$J,9,0),0)</f>
        <v/>
      </c>
      <c r="O19" s="5">
        <f>IFERROR(ROUND(L19*VLOOKUP(A19,従業員マスタ!$A:$K,10,0),0),0)</f>
        <v/>
      </c>
      <c r="P19" s="5">
        <f>IFERROR(VLOOKUP(A19,従業員マスタ!$A:$L,11,0),0)</f>
        <v/>
      </c>
      <c r="Q19" s="5">
        <f>L19-M19-N19-O19-P19</f>
        <v/>
      </c>
      <c r="R19" s="122">
        <f>IFERROR(VLOOKUP(A19,従業員マスタ!$A:$L,12,0),0)</f>
        <v/>
      </c>
      <c r="S19" s="122">
        <f>IFERROR(VLOOKUP(A19,従業員マスタ!$A:$M,13,0),0)</f>
        <v/>
      </c>
      <c r="T19" s="123" t="n">
        <v>0</v>
      </c>
      <c r="U19" s="124">
        <f>Q19-R19-S19-T19</f>
        <v/>
      </c>
    </row>
    <row r="20" ht="21.75" customHeight="1">
      <c r="A20" s="61" t="inlineStr">
        <is>
          <t>合　計</t>
        </is>
      </c>
      <c r="B20" s="107" t="n"/>
      <c r="C20" s="107" t="n"/>
      <c r="D20" s="34">
        <f>SUM(D4:D19)</f>
        <v/>
      </c>
      <c r="E20" s="125">
        <f>SUM(E4:E19)</f>
        <v/>
      </c>
      <c r="F20" s="125">
        <f>SUM(F4:F19)</f>
        <v/>
      </c>
      <c r="G20" s="125">
        <f>SUM(G4:G19)</f>
        <v/>
      </c>
      <c r="H20" s="34">
        <f>SUM(H4:H19)</f>
        <v/>
      </c>
      <c r="I20" s="34">
        <f>SUM(I4:I19)</f>
        <v/>
      </c>
      <c r="J20" s="34">
        <f>SUM(J4:J19)</f>
        <v/>
      </c>
      <c r="K20" s="32">
        <f>SUM(K4:K19)</f>
        <v/>
      </c>
      <c r="L20" s="34">
        <f>SUM(L4:L19)</f>
        <v/>
      </c>
      <c r="M20" s="34">
        <f>SUM(M4:M19)</f>
        <v/>
      </c>
      <c r="N20" s="34">
        <f>SUM(N4:N19)</f>
        <v/>
      </c>
      <c r="O20" s="34">
        <f>SUM(O4:O19)</f>
        <v/>
      </c>
      <c r="P20" s="34">
        <f>SUM(P4:P19)</f>
        <v/>
      </c>
      <c r="Q20" s="34">
        <f>SUM(Q4:Q19)</f>
        <v/>
      </c>
      <c r="R20" s="126">
        <f>SUM(R4:R19)</f>
        <v/>
      </c>
      <c r="S20" s="126">
        <f>SUM(S4:S19)</f>
        <v/>
      </c>
      <c r="T20" s="126">
        <f>SUM(T4:T19)</f>
        <v/>
      </c>
      <c r="U20" s="126">
        <f>SUM(U4:U19)</f>
        <v/>
      </c>
    </row>
  </sheetData>
  <mergeCells count="4">
    <mergeCell ref="A1:P1"/>
    <mergeCell ref="A20:C20"/>
    <mergeCell ref="A2:B2"/>
    <mergeCell ref="D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4"/>
  <sheetViews>
    <sheetView showGridLines="0" zoomScaleNormal="100" workbookViewId="0">
      <selection activeCell="A1" sqref="A1:AI1"/>
    </sheetView>
  </sheetViews>
  <sheetFormatPr baseColWidth="8" defaultColWidth="8.6640625" defaultRowHeight="14.4"/>
  <cols>
    <col width="16" customWidth="1" min="1" max="1"/>
    <col width="10" customWidth="1" min="2" max="2"/>
    <col width="4" customWidth="1" min="3" max="33"/>
    <col width="8" customWidth="1" min="34" max="35"/>
  </cols>
  <sheetData>
    <row r="1" ht="36" customHeight="1">
      <c r="A1" s="44" t="inlineStr">
        <is>
          <t>出　勤　簿　　有限会社 東輝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7" t="n"/>
      <c r="AI1" s="107" t="n"/>
    </row>
    <row r="2" ht="24" customHeight="1">
      <c r="A2" s="45">
        <f>TEXT(月次集計!C2,"令和"&amp;(YEAR(月次集計!C2)-2018)&amp;"年　"&amp;MONTH(月次集計!C2)&amp;"月分")</f>
        <v/>
      </c>
    </row>
    <row r="3" ht="24" customHeight="1">
      <c r="A3" s="12" t="inlineStr">
        <is>
          <t>氏名</t>
        </is>
      </c>
      <c r="B3" s="12" t="inlineStr">
        <is>
          <t>雇用区分</t>
        </is>
      </c>
      <c r="C3" s="36" t="n">
        <v>1</v>
      </c>
      <c r="D3" s="36" t="n">
        <v>2</v>
      </c>
      <c r="E3" s="36" t="n">
        <v>3</v>
      </c>
      <c r="F3" s="36" t="n">
        <v>4</v>
      </c>
      <c r="G3" s="36" t="n">
        <v>5</v>
      </c>
      <c r="H3" s="36" t="n">
        <v>6</v>
      </c>
      <c r="I3" s="36" t="n">
        <v>7</v>
      </c>
      <c r="J3" s="36" t="n">
        <v>8</v>
      </c>
      <c r="K3" s="36" t="n">
        <v>9</v>
      </c>
      <c r="L3" s="36" t="n">
        <v>10</v>
      </c>
      <c r="M3" s="36" t="n">
        <v>11</v>
      </c>
      <c r="N3" s="36" t="n">
        <v>12</v>
      </c>
      <c r="O3" s="36" t="n">
        <v>13</v>
      </c>
      <c r="P3" s="36" t="n">
        <v>14</v>
      </c>
      <c r="Q3" s="36" t="n">
        <v>15</v>
      </c>
      <c r="R3" s="36" t="n">
        <v>16</v>
      </c>
      <c r="S3" s="36" t="n">
        <v>17</v>
      </c>
      <c r="T3" s="36" t="n">
        <v>18</v>
      </c>
      <c r="U3" s="36" t="n">
        <v>19</v>
      </c>
      <c r="V3" s="36" t="n">
        <v>20</v>
      </c>
      <c r="W3" s="36" t="n">
        <v>21</v>
      </c>
      <c r="X3" s="36" t="n">
        <v>22</v>
      </c>
      <c r="Y3" s="36" t="n">
        <v>23</v>
      </c>
      <c r="Z3" s="36" t="n">
        <v>24</v>
      </c>
      <c r="AA3" s="36" t="n">
        <v>25</v>
      </c>
      <c r="AB3" s="36" t="n">
        <v>26</v>
      </c>
      <c r="AC3" s="36" t="n">
        <v>27</v>
      </c>
      <c r="AD3" s="36" t="n">
        <v>28</v>
      </c>
      <c r="AE3" s="36" t="n">
        <v>29</v>
      </c>
      <c r="AF3" s="36" t="n">
        <v>30</v>
      </c>
      <c r="AG3" s="36" t="n">
        <v>31</v>
      </c>
      <c r="AH3" s="37" t="inlineStr">
        <is>
          <t>出勤
日数</t>
        </is>
      </c>
      <c r="AI3" s="37" t="inlineStr">
        <is>
          <t>残業
時間</t>
        </is>
      </c>
    </row>
    <row r="4" ht="19.5" customHeight="1">
      <c r="A4" s="38" t="inlineStr">
        <is>
          <t>曜日</t>
        </is>
      </c>
      <c r="B4" s="38" t="n"/>
      <c r="C4" s="39">
        <f>IFERROR(IF(DAY(DATE(月次集計!$E$2,月次集計!$F$2,1))=1,TEXT(DATE(月次集計!$E$2,月次集計!$F$2,1),"aaa"),""),"")</f>
        <v/>
      </c>
      <c r="D4" s="39">
        <f>IFERROR(IF(DAY(DATE(月次集計!$E$2,月次集計!$F$2,2))=2,TEXT(DATE(月次集計!$E$2,月次集計!$F$2,2),"aaa"),""),"")</f>
        <v/>
      </c>
      <c r="E4" s="39">
        <f>IFERROR(IF(DAY(DATE(月次集計!$E$2,月次集計!$F$2,3))=3,TEXT(DATE(月次集計!$E$2,月次集計!$F$2,3),"aaa"),""),"")</f>
        <v/>
      </c>
      <c r="F4" s="39">
        <f>IFERROR(IF(DAY(DATE(月次集計!$E$2,月次集計!$F$2,4))=4,TEXT(DATE(月次集計!$E$2,月次集計!$F$2,4),"aaa"),""),"")</f>
        <v/>
      </c>
      <c r="G4" s="39">
        <f>IFERROR(IF(DAY(DATE(月次集計!$E$2,月次集計!$F$2,5))=5,TEXT(DATE(月次集計!$E$2,月次集計!$F$2,5),"aaa"),""),"")</f>
        <v/>
      </c>
      <c r="H4" s="39">
        <f>IFERROR(IF(DAY(DATE(月次集計!$E$2,月次集計!$F$2,6))=6,TEXT(DATE(月次集計!$E$2,月次集計!$F$2,6),"aaa"),""),"")</f>
        <v/>
      </c>
      <c r="I4" s="39">
        <f>IFERROR(IF(DAY(DATE(月次集計!$E$2,月次集計!$F$2,7))=7,TEXT(DATE(月次集計!$E$2,月次集計!$F$2,7),"aaa"),""),"")</f>
        <v/>
      </c>
      <c r="J4" s="39">
        <f>IFERROR(IF(DAY(DATE(月次集計!$E$2,月次集計!$F$2,8))=8,TEXT(DATE(月次集計!$E$2,月次集計!$F$2,8),"aaa"),""),"")</f>
        <v/>
      </c>
      <c r="K4" s="39">
        <f>IFERROR(IF(DAY(DATE(月次集計!$E$2,月次集計!$F$2,9))=9,TEXT(DATE(月次集計!$E$2,月次集計!$F$2,9),"aaa"),""),"")</f>
        <v/>
      </c>
      <c r="L4" s="39">
        <f>IFERROR(IF(DAY(DATE(月次集計!$E$2,月次集計!$F$2,10))=10,TEXT(DATE(月次集計!$E$2,月次集計!$F$2,10),"aaa"),""),"")</f>
        <v/>
      </c>
      <c r="M4" s="39">
        <f>IFERROR(IF(DAY(DATE(月次集計!$E$2,月次集計!$F$2,11))=11,TEXT(DATE(月次集計!$E$2,月次集計!$F$2,11),"aaa"),""),"")</f>
        <v/>
      </c>
      <c r="N4" s="39">
        <f>IFERROR(IF(DAY(DATE(月次集計!$E$2,月次集計!$F$2,12))=12,TEXT(DATE(月次集計!$E$2,月次集計!$F$2,12),"aaa"),""),"")</f>
        <v/>
      </c>
      <c r="O4" s="39">
        <f>IFERROR(IF(DAY(DATE(月次集計!$E$2,月次集計!$F$2,13))=13,TEXT(DATE(月次集計!$E$2,月次集計!$F$2,13),"aaa"),""),"")</f>
        <v/>
      </c>
      <c r="P4" s="39">
        <f>IFERROR(IF(DAY(DATE(月次集計!$E$2,月次集計!$F$2,14))=14,TEXT(DATE(月次集計!$E$2,月次集計!$F$2,14),"aaa"),""),"")</f>
        <v/>
      </c>
      <c r="Q4" s="39">
        <f>IFERROR(IF(DAY(DATE(月次集計!$E$2,月次集計!$F$2,15))=15,TEXT(DATE(月次集計!$E$2,月次集計!$F$2,15),"aaa"),""),"")</f>
        <v/>
      </c>
      <c r="R4" s="39">
        <f>IFERROR(IF(DAY(DATE(月次集計!$E$2,月次集計!$F$2,16))=16,TEXT(DATE(月次集計!$E$2,月次集計!$F$2,16),"aaa"),""),"")</f>
        <v/>
      </c>
      <c r="S4" s="39">
        <f>IFERROR(IF(DAY(DATE(月次集計!$E$2,月次集計!$F$2,17))=17,TEXT(DATE(月次集計!$E$2,月次集計!$F$2,17),"aaa"),""),"")</f>
        <v/>
      </c>
      <c r="T4" s="39">
        <f>IFERROR(IF(DAY(DATE(月次集計!$E$2,月次集計!$F$2,18))=18,TEXT(DATE(月次集計!$E$2,月次集計!$F$2,18),"aaa"),""),"")</f>
        <v/>
      </c>
      <c r="U4" s="39">
        <f>IFERROR(IF(DAY(DATE(月次集計!$E$2,月次集計!$F$2,19))=19,TEXT(DATE(月次集計!$E$2,月次集計!$F$2,19),"aaa"),""),"")</f>
        <v/>
      </c>
      <c r="V4" s="39">
        <f>IFERROR(IF(DAY(DATE(月次集計!$E$2,月次集計!$F$2,20))=20,TEXT(DATE(月次集計!$E$2,月次集計!$F$2,20),"aaa"),""),"")</f>
        <v/>
      </c>
      <c r="W4" s="39">
        <f>IFERROR(IF(DAY(DATE(月次集計!$E$2,月次集計!$F$2,21))=21,TEXT(DATE(月次集計!$E$2,月次集計!$F$2,21),"aaa"),""),"")</f>
        <v/>
      </c>
      <c r="X4" s="39">
        <f>IFERROR(IF(DAY(DATE(月次集計!$E$2,月次集計!$F$2,22))=22,TEXT(DATE(月次集計!$E$2,月次集計!$F$2,22),"aaa"),""),"")</f>
        <v/>
      </c>
      <c r="Y4" s="39">
        <f>IFERROR(IF(DAY(DATE(月次集計!$E$2,月次集計!$F$2,23))=23,TEXT(DATE(月次集計!$E$2,月次集計!$F$2,23),"aaa"),""),"")</f>
        <v/>
      </c>
      <c r="Z4" s="39">
        <f>IFERROR(IF(DAY(DATE(月次集計!$E$2,月次集計!$F$2,24))=24,TEXT(DATE(月次集計!$E$2,月次集計!$F$2,24),"aaa"),""),"")</f>
        <v/>
      </c>
      <c r="AA4" s="39">
        <f>IFERROR(IF(DAY(DATE(月次集計!$E$2,月次集計!$F$2,25))=25,TEXT(DATE(月次集計!$E$2,月次集計!$F$2,25),"aaa"),""),"")</f>
        <v/>
      </c>
      <c r="AB4" s="39">
        <f>IFERROR(IF(DAY(DATE(月次集計!$E$2,月次集計!$F$2,26))=26,TEXT(DATE(月次集計!$E$2,月次集計!$F$2,26),"aaa"),""),"")</f>
        <v/>
      </c>
      <c r="AC4" s="39">
        <f>IFERROR(IF(DAY(DATE(月次集計!$E$2,月次集計!$F$2,27))=27,TEXT(DATE(月次集計!$E$2,月次集計!$F$2,27),"aaa"),""),"")</f>
        <v/>
      </c>
      <c r="AD4" s="39">
        <f>IFERROR(IF(DAY(DATE(月次集計!$E$2,月次集計!$F$2,28))=28,TEXT(DATE(月次集計!$E$2,月次集計!$F$2,28),"aaa"),""),"")</f>
        <v/>
      </c>
      <c r="AE4" s="39">
        <f>IFERROR(IF(DAY(DATE(月次集計!$E$2,月次集計!$F$2,29))=29,TEXT(DATE(月次集計!$E$2,月次集計!$F$2,29),"aaa"),""),"")</f>
        <v/>
      </c>
      <c r="AF4" s="39">
        <f>IFERROR(IF(DAY(DATE(月次集計!$E$2,月次集計!$F$2,30))=30,TEXT(DATE(月次集計!$E$2,月次集計!$F$2,30),"aaa"),""),"")</f>
        <v/>
      </c>
      <c r="AG4" s="39">
        <f>IFERROR(IF(DAY(DATE(月次集計!$E$2,月次集計!$F$2,31))=31,TEXT(DATE(月次集計!$E$2,月次集計!$F$2,31),"aaa"),""),"")</f>
        <v/>
      </c>
    </row>
    <row r="5" ht="21.75" customHeight="1">
      <c r="A5" s="3" t="inlineStr">
        <is>
          <t>中原 健作</t>
        </is>
      </c>
      <c r="B5" s="40" t="inlineStr">
        <is>
          <t>月給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41">
        <f>COUNTIF(C5:AG5,"○")</f>
        <v/>
      </c>
      <c r="AI5" s="127" t="n">
        <v>0</v>
      </c>
    </row>
    <row r="6" ht="21.75" customHeight="1">
      <c r="A6" s="8" t="inlineStr">
        <is>
          <t>中原 義範</t>
        </is>
      </c>
      <c r="B6" s="43" t="inlineStr">
        <is>
          <t>月給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41">
        <f>COUNTIF(C6:AG6,"○")</f>
        <v/>
      </c>
      <c r="AI6" s="127" t="n">
        <v>0</v>
      </c>
    </row>
    <row r="7" ht="21.75" customHeight="1">
      <c r="A7" s="3" t="inlineStr">
        <is>
          <t>有田 忍</t>
        </is>
      </c>
      <c r="B7" s="40" t="inlineStr">
        <is>
          <t>日給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41">
        <f>COUNTIF(C7:AG7,"○")</f>
        <v/>
      </c>
      <c r="AI7" s="127" t="n">
        <v>0</v>
      </c>
    </row>
    <row r="8" ht="21.75" customHeight="1">
      <c r="A8" s="8" t="inlineStr">
        <is>
          <t>中原 裟也茄</t>
        </is>
      </c>
      <c r="B8" s="43" t="inlineStr">
        <is>
          <t>日給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41">
        <f>COUNTIF(C8:AG8,"○")</f>
        <v/>
      </c>
      <c r="AI8" s="127" t="n">
        <v>0</v>
      </c>
    </row>
    <row r="9" ht="21.75" customHeight="1">
      <c r="A9" s="3" t="inlineStr">
        <is>
          <t>山田 一光</t>
        </is>
      </c>
      <c r="B9" s="40" t="inlineStr">
        <is>
          <t>日給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41">
        <f>COUNTIF(C9:AG9,"○")</f>
        <v/>
      </c>
      <c r="AI9" s="127" t="n">
        <v>0</v>
      </c>
    </row>
    <row r="10" ht="21.75" customHeight="1">
      <c r="A10" s="8" t="inlineStr">
        <is>
          <t>中原 宏</t>
        </is>
      </c>
      <c r="B10" s="43" t="inlineStr">
        <is>
          <t>日給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41">
        <f>COUNTIF(C10:AG10,"○")</f>
        <v/>
      </c>
      <c r="AI10" s="127" t="n">
        <v>0</v>
      </c>
    </row>
    <row r="11" ht="21.75" customHeight="1">
      <c r="A11" s="3" t="inlineStr">
        <is>
          <t>アルフィアン</t>
        </is>
      </c>
      <c r="B11" s="40" t="inlineStr">
        <is>
          <t>月給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41">
        <f>COUNTIF(C11:AG11,"○")</f>
        <v/>
      </c>
      <c r="AI11" s="127" t="n">
        <v>0</v>
      </c>
    </row>
    <row r="12" ht="21.75" customHeight="1">
      <c r="A12" s="8" t="inlineStr">
        <is>
          <t>ムハンマド ヨザ</t>
        </is>
      </c>
      <c r="B12" s="43" t="inlineStr">
        <is>
          <t>月給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41">
        <f>COUNTIF(C12:AG12,"○")</f>
        <v/>
      </c>
      <c r="AI12" s="127" t="n">
        <v>0</v>
      </c>
    </row>
    <row r="13" ht="21.75" customHeight="1">
      <c r="A13" s="3" t="inlineStr">
        <is>
          <t>リズキ</t>
        </is>
      </c>
      <c r="B13" s="40" t="inlineStr">
        <is>
          <t>月給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41">
        <f>COUNTIF(C13:AG13,"○")</f>
        <v/>
      </c>
      <c r="AI13" s="127" t="n">
        <v>0</v>
      </c>
    </row>
    <row r="14" ht="21.75" customHeight="1">
      <c r="A14" s="8" t="inlineStr">
        <is>
          <t>ディマス</t>
        </is>
      </c>
      <c r="B14" s="43" t="inlineStr">
        <is>
          <t>月給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41">
        <f>COUNTIF(C14:AG14,"○")</f>
        <v/>
      </c>
      <c r="AI14" s="127" t="n">
        <v>0</v>
      </c>
    </row>
    <row r="15" ht="21.75" customHeight="1"/>
    <row r="16" ht="21.75" customHeight="1"/>
    <row r="17" ht="21.75" customHeight="1"/>
    <row r="18" ht="21.75" customHeight="1"/>
    <row r="19" ht="21.75" customHeight="1"/>
  </sheetData>
  <mergeCells count="2">
    <mergeCell ref="A2:AI2"/>
    <mergeCell ref="A1:AI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2026-04-13T12:39:48Z</dcterms:created>
  <dcterms:modified xsi:type="dcterms:W3CDTF">2026-05-12T09:40:36Z</dcterms:modified>
  <cp:lastModifiedBy>shun N</cp:lastModifiedBy>
  <cp:revision>0</cp:revision>
</cp:coreProperties>
</file>