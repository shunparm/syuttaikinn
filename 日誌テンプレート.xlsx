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name="2026.5_アルフィアン" sheetId="1" state="visible" r:id="rId1"/>
    <sheet name="2026.1" sheetId="2" state="visible" r:id="rId2"/>
    <sheet name="2026.2" sheetId="3" state="visible" r:id="rId3"/>
    <sheet name="2026.3" sheetId="4" state="visible" r:id="rId4"/>
    <sheet name="2026.4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0&quot;時間&quot;"/>
    <numFmt numFmtId="165" formatCode="0&quot;日&quot;"/>
    <numFmt numFmtId="166" formatCode="0&quot;月&quot;"/>
    <numFmt numFmtId="167" formatCode="\+0\h;\-0\h;\-"/>
    <numFmt numFmtId="168" formatCode="m/d/yyyy"/>
    <numFmt numFmtId="169" formatCode="0&quot;時間 / 175時間&quot;"/>
    <numFmt numFmtId="170" formatCode="0&quot;日以上&quot;"/>
    <numFmt numFmtId="171" formatCode="yyyy-mm-dd h:mm:ss"/>
  </numFmts>
  <fonts count="59">
    <font>
      <name val="游ゴシック"/>
      <charset val="128"/>
      <family val="2"/>
      <color theme="1"/>
      <sz val="11"/>
    </font>
    <font>
      <name val="Noto Sans CJK SC"/>
      <family val="2"/>
      <b val="1"/>
      <color rgb="FFFFFFFF"/>
      <sz val="14"/>
    </font>
    <font>
      <name val="Noto Sans CJK SC"/>
      <family val="2"/>
      <color theme="1"/>
      <sz val="11"/>
    </font>
    <font>
      <name val="メイリオ"/>
      <charset val="128"/>
      <family val="3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family val="2"/>
      <color rgb="FF1A237E"/>
      <sz val="10"/>
    </font>
    <font>
      <name val="メイリオ"/>
      <charset val="128"/>
      <family val="3"/>
      <color rgb="FF1A237E"/>
      <sz val="10"/>
    </font>
    <font>
      <name val="Noto Sans CJK SC"/>
      <family val="2"/>
      <b val="1"/>
      <color rgb="FFFFFFFF"/>
      <sz val="11"/>
    </font>
    <font>
      <name val="メイリオ"/>
      <charset val="128"/>
      <family val="3"/>
      <b val="1"/>
      <color rgb="FFFFFFFF"/>
      <sz val="11"/>
    </font>
    <font>
      <name val="Noto Sans CJK SC"/>
      <family val="2"/>
      <b val="1"/>
      <sz val="10"/>
    </font>
    <font>
      <name val="メイリオ"/>
      <charset val="128"/>
      <family val="3"/>
      <b val="1"/>
      <color rgb="FF1A237E"/>
      <sz val="14"/>
    </font>
    <font>
      <name val="Noto Sans CJK SC"/>
      <family val="2"/>
      <b val="1"/>
      <color rgb="FF1A237E"/>
      <sz val="14"/>
    </font>
    <font>
      <name val="Noto Sans CJK SC"/>
      <family val="2"/>
      <b val="1"/>
      <color rgb="FFB71C1C"/>
      <sz val="10"/>
    </font>
    <font>
      <name val="メイリオ"/>
      <charset val="128"/>
      <family val="3"/>
      <color rgb="FF555555"/>
      <sz val="9"/>
    </font>
    <font>
      <name val="メイリオ"/>
      <charset val="128"/>
      <family val="3"/>
      <b val="1"/>
      <color rgb="FF1565C0"/>
      <sz val="12"/>
    </font>
    <font>
      <name val="メイリオ"/>
      <charset val="128"/>
      <family val="3"/>
      <b val="1"/>
      <color rgb="FF1A237E"/>
      <sz val="16"/>
    </font>
    <font>
      <name val="メイリオ"/>
      <charset val="128"/>
      <family val="3"/>
      <b val="1"/>
      <sz val="12"/>
    </font>
    <font>
      <name val="Noto Sans CJK SC"/>
      <family val="2"/>
      <sz val="9"/>
    </font>
    <font>
      <name val="メイリオ"/>
      <charset val="128"/>
      <family val="3"/>
      <sz val="10"/>
    </font>
    <font>
      <name val="メイリオ"/>
      <charset val="128"/>
      <family val="3"/>
      <b val="1"/>
      <sz val="10"/>
    </font>
    <font>
      <name val="Noto Sans CJK SC"/>
      <family val="2"/>
      <b val="1"/>
      <sz val="9"/>
    </font>
    <font>
      <name val="Noto Sans CJK SC"/>
      <family val="2"/>
      <b val="1"/>
      <color rgb="FFFFFFFF"/>
      <sz val="9"/>
    </font>
    <font>
      <name val="Noto Sans CJK SC"/>
      <family val="2"/>
      <sz val="10"/>
    </font>
    <font>
      <name val="メイリオ"/>
      <charset val="128"/>
      <family val="3"/>
      <sz val="9"/>
    </font>
    <font>
      <name val="Noto Sans CJK SC"/>
      <charset val="1"/>
      <family val="2"/>
      <b val="1"/>
      <color rgb="FFFFFFFF"/>
      <sz val="13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sz val="10"/>
    </font>
    <font>
      <name val="Noto Sans CJK SC"/>
      <charset val="1"/>
      <family val="2"/>
      <b val="1"/>
      <sz val="11"/>
    </font>
    <font>
      <name val="Noto Sans CJK SC"/>
      <charset val="1"/>
      <family val="2"/>
      <color theme="1"/>
      <sz val="8"/>
    </font>
    <font>
      <name val="游ゴシック"/>
      <charset val="128"/>
      <family val="2"/>
      <color theme="1"/>
      <sz val="8"/>
    </font>
    <font>
      <name val="Noto Sans CJK SC"/>
      <family val="2"/>
      <color theme="1"/>
      <sz val="8"/>
    </font>
    <font>
      <name val="Noto Sans CJK SC"/>
      <charset val="1"/>
      <family val="2"/>
      <b val="1"/>
      <color rgb="FFFFFFFF"/>
      <sz val="11"/>
    </font>
    <font>
      <name val="游ゴシック"/>
      <charset val="128"/>
      <family val="2"/>
      <color theme="1"/>
      <sz val="7"/>
    </font>
    <font>
      <name val="Noto Sans CJK SC"/>
      <family val="2"/>
      <color theme="1"/>
      <sz val="7"/>
    </font>
    <font>
      <name val="Noto Sans CJK SC"/>
      <charset val="1"/>
      <family val="2"/>
      <color theme="1"/>
      <sz val="11"/>
    </font>
    <font>
      <name val="メイリオ"/>
      <charset val="128"/>
      <family val="3"/>
      <b val="1"/>
      <sz val="11"/>
    </font>
    <font>
      <name val="Noto Sans CJK SC"/>
      <charset val="1"/>
      <family val="2"/>
      <b val="1"/>
      <sz val="9"/>
    </font>
    <font>
      <name val="Noto Sans CJK SC"/>
      <charset val="1"/>
      <family val="2"/>
      <color theme="1"/>
      <sz val="9"/>
    </font>
    <font>
      <name val="Noto Sans CJK SC"/>
      <charset val="1"/>
      <family val="2"/>
      <color theme="1"/>
      <sz val="10"/>
    </font>
    <font>
      <name val="游ゴシック"/>
      <charset val="128"/>
      <family val="2"/>
      <color theme="1"/>
      <sz val="10"/>
    </font>
    <font>
      <name val="Noto Sans CJK SC"/>
      <charset val="1"/>
      <family val="2"/>
      <color theme="1"/>
      <sz val="6"/>
    </font>
    <font>
      <name val="Noto Sans CJK SC"/>
      <charset val="1"/>
      <family val="2"/>
      <b val="1"/>
      <color rgb="FFFFFFFF"/>
      <sz val="9"/>
    </font>
    <font>
      <name val="游ゴシック"/>
      <charset val="128"/>
      <family val="2"/>
      <color theme="1"/>
      <sz val="6"/>
    </font>
    <font>
      <name val="Noto Sans CJK SC"/>
      <charset val="1"/>
      <family val="2"/>
      <b val="1"/>
      <sz val="10"/>
    </font>
    <font>
      <name val="メイリオ"/>
      <charset val="128"/>
      <family val="3"/>
      <b val="1"/>
      <color rgb="FF1A237E"/>
      <sz val="10"/>
    </font>
    <font>
      <name val="Noto Sans CJK SC"/>
      <charset val="1"/>
      <family val="2"/>
      <sz val="8"/>
    </font>
    <font>
      <name val="游ゴシック"/>
      <charset val="128"/>
      <family val="3"/>
      <color theme="1"/>
      <sz val="6"/>
    </font>
    <font>
      <name val="游ゴシック"/>
      <charset val="128"/>
      <family val="2"/>
      <sz val="6"/>
    </font>
    <font>
      <name val="游ゴシック"/>
      <b val="1"/>
      <color rgb="FFFFFFFF"/>
      <sz val="14"/>
    </font>
    <font>
      <name val="游ゴシック"/>
      <color rgb="FF444444"/>
      <sz val="9"/>
    </font>
    <font>
      <name val="游ゴシック"/>
      <b val="1"/>
      <color rgb="FFFFFFFF"/>
      <sz val="11"/>
    </font>
    <font>
      <name val="游ゴシック"/>
      <b val="1"/>
      <color rgb="FF000000"/>
      <sz val="10"/>
    </font>
    <font>
      <name val="游ゴシック"/>
      <b val="1"/>
      <color rgb="FF000000"/>
      <sz val="12"/>
    </font>
    <font>
      <name val="游ゴシック"/>
      <color rgb="FF000000"/>
      <sz val="9"/>
    </font>
    <font>
      <name val="游ゴシック"/>
      <b val="1"/>
      <color rgb="FF333333"/>
      <sz val="11"/>
    </font>
    <font>
      <name val="游ゴシック"/>
      <color rgb="FF000000"/>
      <sz val="10"/>
    </font>
    <font>
      <name val="游ゴシック"/>
      <b val="1"/>
      <color rgb="FF0070C0"/>
      <sz val="12"/>
    </font>
    <font>
      <b val="1"/>
      <color rgb="00FFFFFF"/>
      <sz val="11"/>
    </font>
    <font>
      <b val="1"/>
      <color rgb="00333333"/>
      <sz val="11"/>
    </font>
  </fonts>
  <fills count="33">
    <fill>
      <patternFill/>
    </fill>
    <fill>
      <patternFill patternType="gray125"/>
    </fill>
    <fill>
      <patternFill patternType="solid">
        <fgColor rgb="FF1A237E"/>
        <bgColor rgb="FF2E4057"/>
      </patternFill>
    </fill>
    <fill>
      <patternFill patternType="solid">
        <fgColor rgb="FF2E4057"/>
        <bgColor rgb="FF37474F"/>
      </patternFill>
    </fill>
    <fill>
      <patternFill patternType="solid">
        <fgColor rgb="FFE8EAF6"/>
        <bgColor rgb="FFECEFF1"/>
      </patternFill>
    </fill>
    <fill>
      <patternFill patternType="solid">
        <fgColor rgb="FF37474F"/>
        <bgColor rgb="FF2E4057"/>
      </patternFill>
    </fill>
    <fill>
      <patternFill patternType="solid">
        <fgColor rgb="FFFFF9C4"/>
        <bgColor rgb="FFFFF3E0"/>
      </patternFill>
    </fill>
    <fill>
      <patternFill patternType="solid">
        <fgColor rgb="FFFFCDD2"/>
        <bgColor rgb="FFFCE4EC"/>
      </patternFill>
    </fill>
    <fill>
      <patternFill patternType="solid">
        <fgColor rgb="FFF5F5F5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E3F2FD"/>
        <bgColor rgb="FFE0F7FA"/>
      </patternFill>
    </fill>
    <fill>
      <patternFill patternType="solid">
        <fgColor rgb="FFE8F5E9"/>
        <bgColor rgb="FFECEFF1"/>
      </patternFill>
    </fill>
    <fill>
      <patternFill patternType="solid">
        <fgColor rgb="FFFFF3E0"/>
        <bgColor rgb="FFFFEBEE"/>
      </patternFill>
    </fill>
    <fill>
      <patternFill patternType="solid">
        <fgColor rgb="FFFCE4EC"/>
        <bgColor rgb="FFFFEBEE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004D40"/>
        <bgColor rgb="FF1B5E20"/>
      </patternFill>
    </fill>
    <fill>
      <patternFill patternType="solid">
        <fgColor rgb="FF00695C"/>
        <bgColor rgb="FF008080"/>
      </patternFill>
    </fill>
    <fill>
      <patternFill patternType="solid">
        <fgColor rgb="FFFAFAFA"/>
        <bgColor rgb="FFFFFFFF"/>
      </patternFill>
    </fill>
    <fill>
      <patternFill patternType="solid">
        <fgColor rgb="FF455A64"/>
        <bgColor rgb="FF555555"/>
      </patternFill>
    </fill>
    <fill>
      <patternFill patternType="solid">
        <fgColor rgb="FFECEFF1"/>
        <bgColor rgb="FFE8EAF6"/>
      </patternFill>
    </fill>
    <fill>
      <patternFill patternType="solid">
        <fgColor rgb="FF4A7C9E"/>
        <bgColor rgb="FF339966"/>
      </patternFill>
    </fill>
    <fill>
      <patternFill patternType="solid">
        <fgColor rgb="FFE0E0E0"/>
        <bgColor rgb="FFE8EAF6"/>
      </patternFill>
    </fill>
    <fill>
      <patternFill patternType="solid">
        <fgColor rgb="FFFFFF00"/>
        <bgColor rgb="FFFFF9C4"/>
      </patternFill>
    </fill>
    <fill>
      <patternFill patternType="solid">
        <fgColor rgb="FF2E4057"/>
      </patternFill>
    </fill>
    <fill>
      <patternFill patternType="solid">
        <fgColor rgb="FFF0F4FA"/>
      </patternFill>
    </fill>
    <fill>
      <patternFill patternType="solid">
        <fgColor rgb="FF4472C4"/>
      </patternFill>
    </fill>
    <fill>
      <patternFill patternType="solid">
        <fgColor rgb="FFFFFFCC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FAFFF0"/>
      </patternFill>
    </fill>
    <fill>
      <patternFill patternType="solid">
        <fgColor rgb="002E4057"/>
        <bgColor rgb="002E4057"/>
      </patternFill>
    </fill>
    <fill>
      <patternFill patternType="solid">
        <fgColor rgb="00F5F5F5"/>
        <bgColor rgb="00F5F5F5"/>
      </patternFill>
    </fill>
  </fills>
  <borders count="3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2E4057"/>
      </left>
      <right style="medium">
        <color rgb="FF2E4057"/>
      </right>
      <top style="medium">
        <color rgb="FF2E4057"/>
      </top>
      <bottom style="medium">
        <color rgb="FF2E4057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rgb="FF2E4057"/>
      </top>
      <bottom/>
      <diagonal/>
    </border>
    <border>
      <left/>
      <right style="medium">
        <color rgb="FF2E4057"/>
      </right>
      <top style="medium">
        <color rgb="FF2E4057"/>
      </top>
      <bottom/>
      <diagonal/>
    </border>
    <border>
      <left/>
      <right/>
      <top style="medium">
        <color rgb="FF2E4057"/>
      </top>
      <bottom style="medium">
        <color rgb="FF2E4057"/>
      </bottom>
      <diagonal/>
    </border>
    <border>
      <left/>
      <right style="medium">
        <color rgb="FF2E4057"/>
      </right>
      <top style="medium">
        <color rgb="FF2E4057"/>
      </top>
      <bottom style="medium">
        <color rgb="FF2E4057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 applyAlignment="1">
      <alignment vertical="center"/>
    </xf>
  </cellStyleXfs>
  <cellXfs count="277">
    <xf numFmtId="0" fontId="0" fillId="0" borderId="0" applyAlignment="1" pivotButton="0" quotePrefix="0" xfId="0">
      <alignment vertical="center"/>
    </xf>
    <xf numFmtId="0" fontId="23" fillId="11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7" fillId="16" borderId="0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165" fontId="15" fillId="4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166" fontId="10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165" fontId="15" fillId="4" borderId="2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164" fontId="18" fillId="10" borderId="1" applyAlignment="1" pivotButton="0" quotePrefix="0" xfId="0">
      <alignment horizontal="center" vertical="center" wrapText="1"/>
    </xf>
    <xf numFmtId="165" fontId="18" fillId="10" borderId="1" applyAlignment="1" pivotButton="0" quotePrefix="0" xfId="0">
      <alignment horizontal="center" vertical="center" wrapText="1"/>
    </xf>
    <xf numFmtId="165" fontId="19" fillId="10" borderId="1" applyAlignment="1" pivotButton="0" quotePrefix="0" xfId="0">
      <alignment horizontal="center" vertical="center" wrapText="1"/>
    </xf>
    <xf numFmtId="164" fontId="19" fillId="10" borderId="1" applyAlignment="1" pivotButton="0" quotePrefix="0" xfId="0">
      <alignment horizontal="center" vertical="center" wrapText="1"/>
    </xf>
    <xf numFmtId="167" fontId="18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164" fontId="18" fillId="11" borderId="1" applyAlignment="1" pivotButton="0" quotePrefix="0" xfId="0">
      <alignment horizontal="center" vertical="center" wrapText="1"/>
    </xf>
    <xf numFmtId="165" fontId="18" fillId="11" borderId="1" applyAlignment="1" pivotButton="0" quotePrefix="0" xfId="0">
      <alignment horizontal="center" vertical="center" wrapText="1"/>
    </xf>
    <xf numFmtId="165" fontId="19" fillId="11" borderId="1" applyAlignment="1" pivotButton="0" quotePrefix="0" xfId="0">
      <alignment horizontal="center" vertical="center" wrapText="1"/>
    </xf>
    <xf numFmtId="164" fontId="19" fillId="11" borderId="1" applyAlignment="1" pivotButton="0" quotePrefix="0" xfId="0">
      <alignment horizontal="center" vertical="center" wrapText="1"/>
    </xf>
    <xf numFmtId="167" fontId="18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164" fontId="18" fillId="12" borderId="1" applyAlignment="1" pivotButton="0" quotePrefix="0" xfId="0">
      <alignment horizontal="center" vertical="center" wrapText="1"/>
    </xf>
    <xf numFmtId="165" fontId="18" fillId="12" borderId="1" applyAlignment="1" pivotButton="0" quotePrefix="0" xfId="0">
      <alignment horizontal="center" vertical="center" wrapText="1"/>
    </xf>
    <xf numFmtId="165" fontId="19" fillId="12" borderId="1" applyAlignment="1" pivotButton="0" quotePrefix="0" xfId="0">
      <alignment horizontal="center" vertical="center" wrapText="1"/>
    </xf>
    <xf numFmtId="164" fontId="19" fillId="12" borderId="1" applyAlignment="1" pivotButton="0" quotePrefix="0" xfId="0">
      <alignment horizontal="center" vertical="center" wrapText="1"/>
    </xf>
    <xf numFmtId="167" fontId="18" fillId="12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164" fontId="18" fillId="13" borderId="1" applyAlignment="1" pivotButton="0" quotePrefix="0" xfId="0">
      <alignment horizontal="center" vertical="center" wrapText="1"/>
    </xf>
    <xf numFmtId="165" fontId="18" fillId="13" borderId="1" applyAlignment="1" pivotButton="0" quotePrefix="0" xfId="0">
      <alignment horizontal="center" vertical="center" wrapText="1"/>
    </xf>
    <xf numFmtId="165" fontId="19" fillId="13" borderId="1" applyAlignment="1" pivotButton="0" quotePrefix="0" xfId="0">
      <alignment horizontal="center" vertical="center" wrapText="1"/>
    </xf>
    <xf numFmtId="164" fontId="19" fillId="13" borderId="1" applyAlignment="1" pivotButton="0" quotePrefix="0" xfId="0">
      <alignment horizontal="center" vertical="center" wrapText="1"/>
    </xf>
    <xf numFmtId="167" fontId="18" fillId="13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164" fontId="18" fillId="14" borderId="1" applyAlignment="1" pivotButton="0" quotePrefix="0" xfId="0">
      <alignment horizontal="center" vertical="center" wrapText="1"/>
    </xf>
    <xf numFmtId="165" fontId="18" fillId="14" borderId="1" applyAlignment="1" pivotButton="0" quotePrefix="0" xfId="0">
      <alignment horizontal="center" vertical="center" wrapText="1"/>
    </xf>
    <xf numFmtId="165" fontId="19" fillId="14" borderId="1" applyAlignment="1" pivotButton="0" quotePrefix="0" xfId="0">
      <alignment horizontal="center" vertical="center" wrapText="1"/>
    </xf>
    <xf numFmtId="164" fontId="19" fillId="14" borderId="1" applyAlignment="1" pivotButton="0" quotePrefix="0" xfId="0">
      <alignment horizontal="center" vertical="center" wrapText="1"/>
    </xf>
    <xf numFmtId="167" fontId="18" fillId="14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164" fontId="18" fillId="15" borderId="1" applyAlignment="1" pivotButton="0" quotePrefix="0" xfId="0">
      <alignment horizontal="center" vertical="center" wrapText="1"/>
    </xf>
    <xf numFmtId="165" fontId="18" fillId="15" borderId="1" applyAlignment="1" pivotButton="0" quotePrefix="0" xfId="0">
      <alignment horizontal="center" vertical="center" wrapText="1"/>
    </xf>
    <xf numFmtId="165" fontId="19" fillId="15" borderId="1" applyAlignment="1" pivotButton="0" quotePrefix="0" xfId="0">
      <alignment horizontal="center" vertical="center" wrapText="1"/>
    </xf>
    <xf numFmtId="164" fontId="19" fillId="15" borderId="1" applyAlignment="1" pivotButton="0" quotePrefix="0" xfId="0">
      <alignment horizontal="center" vertical="center" wrapText="1"/>
    </xf>
    <xf numFmtId="167" fontId="18" fillId="15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22" fillId="18" borderId="1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23" fillId="18" borderId="1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6" fillId="13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center" vertical="center" wrapText="1"/>
    </xf>
    <xf numFmtId="0" fontId="16" fillId="15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center" vertical="center" wrapText="1"/>
    </xf>
    <xf numFmtId="0" fontId="25" fillId="21" borderId="0" applyAlignment="1" pivotButton="0" quotePrefix="0" xfId="0">
      <alignment horizontal="center" vertical="center" wrapText="1"/>
    </xf>
    <xf numFmtId="0" fontId="18" fillId="6" borderId="4" applyAlignment="1" pivotButton="0" quotePrefix="0" xfId="0">
      <alignment horizontal="center" vertical="center" wrapText="1"/>
    </xf>
    <xf numFmtId="0" fontId="18" fillId="22" borderId="4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0" fontId="25" fillId="3" borderId="1" applyAlignment="1" pivotButton="0" quotePrefix="0" xfId="0">
      <alignment horizontal="center" vertical="center" wrapText="1"/>
    </xf>
    <xf numFmtId="0" fontId="35" fillId="10" borderId="1" applyAlignment="1" pivotButton="0" quotePrefix="0" xfId="0">
      <alignment horizontal="center" vertical="center" wrapText="1"/>
    </xf>
    <xf numFmtId="9" fontId="18" fillId="10" borderId="1" applyAlignment="1" pivotButton="0" quotePrefix="0" xfId="0">
      <alignment horizontal="center" vertical="center" wrapText="1"/>
    </xf>
    <xf numFmtId="0" fontId="36" fillId="10" borderId="1" applyAlignment="1" pivotButton="0" quotePrefix="0" xfId="0">
      <alignment horizontal="center" vertical="center" wrapText="1"/>
    </xf>
    <xf numFmtId="0" fontId="35" fillId="11" borderId="1" applyAlignment="1" pivotButton="0" quotePrefix="0" xfId="0">
      <alignment horizontal="center" vertical="center" wrapText="1"/>
    </xf>
    <xf numFmtId="9" fontId="18" fillId="11" borderId="1" applyAlignment="1" pivotButton="0" quotePrefix="0" xfId="0">
      <alignment horizontal="center" vertical="center" wrapText="1"/>
    </xf>
    <xf numFmtId="0" fontId="36" fillId="11" borderId="1" applyAlignment="1" pivotButton="0" quotePrefix="0" xfId="0">
      <alignment horizontal="center" vertical="center" wrapText="1"/>
    </xf>
    <xf numFmtId="0" fontId="35" fillId="12" borderId="1" applyAlignment="1" pivotButton="0" quotePrefix="0" xfId="0">
      <alignment horizontal="center" vertical="center" wrapText="1"/>
    </xf>
    <xf numFmtId="9" fontId="18" fillId="12" borderId="1" applyAlignment="1" pivotButton="0" quotePrefix="0" xfId="0">
      <alignment horizontal="center" vertical="center" wrapText="1"/>
    </xf>
    <xf numFmtId="0" fontId="36" fillId="12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center"/>
    </xf>
    <xf numFmtId="0" fontId="35" fillId="13" borderId="1" applyAlignment="1" pivotButton="0" quotePrefix="0" xfId="0">
      <alignment horizontal="center" vertical="center" wrapText="1"/>
    </xf>
    <xf numFmtId="9" fontId="18" fillId="13" borderId="1" applyAlignment="1" pivotButton="0" quotePrefix="0" xfId="0">
      <alignment horizontal="center" vertical="center" wrapText="1"/>
    </xf>
    <xf numFmtId="0" fontId="36" fillId="13" borderId="1" applyAlignment="1" pivotButton="0" quotePrefix="0" xfId="0">
      <alignment horizontal="center" vertical="center" wrapText="1"/>
    </xf>
    <xf numFmtId="0" fontId="37" fillId="0" borderId="6" applyAlignment="1" pivotButton="0" quotePrefix="0" xfId="0">
      <alignment horizontal="center" vertical="center"/>
    </xf>
    <xf numFmtId="0" fontId="38" fillId="0" borderId="6" applyAlignment="1" pivotButton="0" quotePrefix="0" xfId="0">
      <alignment horizontal="center" vertical="center"/>
    </xf>
    <xf numFmtId="0" fontId="28" fillId="23" borderId="7" applyAlignment="1" pivotButton="0" quotePrefix="0" xfId="0">
      <alignment vertical="center"/>
    </xf>
    <xf numFmtId="0" fontId="29" fillId="23" borderId="8" applyAlignment="1" pivotButton="0" quotePrefix="0" xfId="0">
      <alignment vertical="center"/>
    </xf>
    <xf numFmtId="0" fontId="35" fillId="14" borderId="1" applyAlignment="1" pivotButton="0" quotePrefix="0" xfId="0">
      <alignment horizontal="center" vertical="center" wrapText="1"/>
    </xf>
    <xf numFmtId="9" fontId="18" fillId="14" borderId="1" applyAlignment="1" pivotButton="0" quotePrefix="0" xfId="0">
      <alignment horizontal="center" vertical="center" wrapText="1"/>
    </xf>
    <xf numFmtId="0" fontId="36" fillId="14" borderId="1" applyAlignment="1" pivotButton="0" quotePrefix="0" xfId="0">
      <alignment horizontal="center" vertical="center" wrapText="1"/>
    </xf>
    <xf numFmtId="168" fontId="39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 wrapText="1"/>
    </xf>
    <xf numFmtId="0" fontId="35" fillId="15" borderId="1" applyAlignment="1" pivotButton="0" quotePrefix="0" xfId="0">
      <alignment horizontal="center" vertical="center" wrapText="1"/>
    </xf>
    <xf numFmtId="9" fontId="18" fillId="15" borderId="1" applyAlignment="1" pivotButton="0" quotePrefix="0" xfId="0">
      <alignment horizontal="center" vertical="center" wrapText="1"/>
    </xf>
    <xf numFmtId="0" fontId="36" fillId="15" borderId="1" applyAlignment="1" pivotButton="0" quotePrefix="0" xfId="0">
      <alignment horizontal="center" vertical="center" wrapText="1"/>
    </xf>
    <xf numFmtId="169" fontId="3" fillId="3" borderId="1" applyAlignment="1" pivotButton="0" quotePrefix="0" xfId="0">
      <alignment horizontal="center" vertical="center" wrapText="1"/>
    </xf>
    <xf numFmtId="0" fontId="34" fillId="0" borderId="6" applyAlignment="1" pivotButton="0" quotePrefix="0" xfId="0">
      <alignment vertical="center"/>
    </xf>
    <xf numFmtId="0" fontId="43" fillId="6" borderId="1" applyAlignment="1" pivotButton="0" quotePrefix="0" xfId="0">
      <alignment horizontal="center" vertical="center" wrapText="1"/>
    </xf>
    <xf numFmtId="0" fontId="41" fillId="19" borderId="1" applyAlignment="1" pivotButton="0" quotePrefix="0" xfId="0">
      <alignment horizontal="center" vertical="center" wrapText="1"/>
    </xf>
    <xf numFmtId="170" fontId="18" fillId="10" borderId="1" applyAlignment="1" pivotButton="0" quotePrefix="0" xfId="0">
      <alignment horizontal="center" vertical="center" wrapText="1"/>
    </xf>
    <xf numFmtId="165" fontId="44" fillId="10" borderId="1" applyAlignment="1" pivotButton="0" quotePrefix="0" xfId="0">
      <alignment horizontal="center" vertical="center" wrapText="1"/>
    </xf>
    <xf numFmtId="0" fontId="45" fillId="10" borderId="1" applyAlignment="1" pivotButton="0" quotePrefix="0" xfId="0">
      <alignment horizontal="left" vertical="center" wrapText="1"/>
    </xf>
    <xf numFmtId="170" fontId="18" fillId="11" borderId="1" applyAlignment="1" pivotButton="0" quotePrefix="0" xfId="0">
      <alignment horizontal="center" vertical="center" wrapText="1"/>
    </xf>
    <xf numFmtId="165" fontId="44" fillId="11" borderId="1" applyAlignment="1" pivotButton="0" quotePrefix="0" xfId="0">
      <alignment horizontal="center" vertical="center" wrapText="1"/>
    </xf>
    <xf numFmtId="0" fontId="45" fillId="11" borderId="1" applyAlignment="1" pivotButton="0" quotePrefix="0" xfId="0">
      <alignment horizontal="left" vertical="center" wrapText="1"/>
    </xf>
    <xf numFmtId="170" fontId="18" fillId="12" borderId="1" applyAlignment="1" pivotButton="0" quotePrefix="0" xfId="0">
      <alignment horizontal="center" vertical="center" wrapText="1"/>
    </xf>
    <xf numFmtId="165" fontId="44" fillId="12" borderId="1" applyAlignment="1" pivotButton="0" quotePrefix="0" xfId="0">
      <alignment horizontal="center" vertical="center" wrapText="1"/>
    </xf>
    <xf numFmtId="0" fontId="45" fillId="12" borderId="1" applyAlignment="1" pivotButton="0" quotePrefix="0" xfId="0">
      <alignment horizontal="left" vertical="center" wrapText="1"/>
    </xf>
    <xf numFmtId="170" fontId="18" fillId="13" borderId="1" applyAlignment="1" pivotButton="0" quotePrefix="0" xfId="0">
      <alignment horizontal="center" vertical="center" wrapText="1"/>
    </xf>
    <xf numFmtId="165" fontId="44" fillId="13" borderId="1" applyAlignment="1" pivotButton="0" quotePrefix="0" xfId="0">
      <alignment horizontal="center" vertical="center" wrapText="1"/>
    </xf>
    <xf numFmtId="0" fontId="45" fillId="13" borderId="1" applyAlignment="1" pivotButton="0" quotePrefix="0" xfId="0">
      <alignment horizontal="left" vertical="center" wrapText="1"/>
    </xf>
    <xf numFmtId="170" fontId="18" fillId="14" borderId="1" applyAlignment="1" pivotButton="0" quotePrefix="0" xfId="0">
      <alignment horizontal="center" vertical="center" wrapText="1"/>
    </xf>
    <xf numFmtId="165" fontId="44" fillId="14" borderId="1" applyAlignment="1" pivotButton="0" quotePrefix="0" xfId="0">
      <alignment horizontal="center" vertical="center" wrapText="1"/>
    </xf>
    <xf numFmtId="0" fontId="45" fillId="14" borderId="1" applyAlignment="1" pivotButton="0" quotePrefix="0" xfId="0">
      <alignment horizontal="left" vertical="center" wrapText="1"/>
    </xf>
    <xf numFmtId="170" fontId="18" fillId="15" borderId="1" applyAlignment="1" pivotButton="0" quotePrefix="0" xfId="0">
      <alignment horizontal="center" vertical="center" wrapText="1"/>
    </xf>
    <xf numFmtId="165" fontId="44" fillId="15" borderId="1" applyAlignment="1" pivotButton="0" quotePrefix="0" xfId="0">
      <alignment horizontal="center" vertical="center" wrapText="1"/>
    </xf>
    <xf numFmtId="0" fontId="45" fillId="1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 wrapText="1"/>
    </xf>
    <xf numFmtId="0" fontId="38" fillId="0" borderId="11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29" fillId="0" borderId="12" applyAlignment="1" pivotButton="0" quotePrefix="0" xfId="0">
      <alignment vertical="center"/>
    </xf>
    <xf numFmtId="0" fontId="34" fillId="0" borderId="11" applyAlignment="1" pivotButton="0" quotePrefix="0" xfId="0">
      <alignment vertical="center"/>
    </xf>
    <xf numFmtId="0" fontId="17" fillId="11" borderId="1" applyAlignment="1" pivotButton="0" quotePrefix="0" xfId="0">
      <alignment horizontal="left" vertical="center" wrapText="1"/>
    </xf>
    <xf numFmtId="0" fontId="7" fillId="19" borderId="0" applyAlignment="1" pivotButton="0" quotePrefix="0" xfId="0">
      <alignment horizontal="center" vertical="center" wrapText="1"/>
    </xf>
    <xf numFmtId="0" fontId="18" fillId="20" borderId="1" applyAlignment="1" pivotButton="0" quotePrefix="0" xfId="0">
      <alignment horizontal="left" vertical="center" wrapText="1"/>
    </xf>
    <xf numFmtId="0" fontId="22" fillId="18" borderId="1" applyAlignment="1" pivotButton="0" quotePrefix="0" xfId="0">
      <alignment horizontal="left" vertical="center" wrapText="1"/>
    </xf>
    <xf numFmtId="0" fontId="22" fillId="20" borderId="1" applyAlignment="1" pivotButton="0" quotePrefix="0" xfId="0">
      <alignment horizontal="left" vertical="center" wrapText="1"/>
    </xf>
    <xf numFmtId="0" fontId="18" fillId="18" borderId="1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 wrapText="1"/>
    </xf>
    <xf numFmtId="0" fontId="25" fillId="21" borderId="0" applyAlignment="1" pivotButton="0" quotePrefix="0" xfId="0">
      <alignment horizontal="center" vertical="center" wrapText="1"/>
    </xf>
    <xf numFmtId="0" fontId="26" fillId="6" borderId="3" applyAlignment="1" pivotButton="0" quotePrefix="0" xfId="0">
      <alignment horizontal="left" vertical="center" wrapText="1"/>
    </xf>
    <xf numFmtId="0" fontId="26" fillId="11" borderId="3" applyAlignment="1" pivotButton="0" quotePrefix="0" xfId="0">
      <alignment horizontal="left" vertical="center" wrapText="1"/>
    </xf>
    <xf numFmtId="0" fontId="26" fillId="22" borderId="3" applyAlignment="1" pivotButton="0" quotePrefix="0" xfId="0">
      <alignment horizontal="left" vertical="center" wrapText="1"/>
    </xf>
    <xf numFmtId="0" fontId="27" fillId="12" borderId="2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0" fontId="28" fillId="0" borderId="5" applyAlignment="1" pivotButton="0" quotePrefix="0" xfId="0">
      <alignment horizontal="left" vertical="center"/>
    </xf>
    <xf numFmtId="0" fontId="37" fillId="0" borderId="6" applyAlignment="1" pivotButton="0" quotePrefix="0" xfId="0">
      <alignment horizontal="center" vertical="center"/>
    </xf>
    <xf numFmtId="0" fontId="38" fillId="0" borderId="6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4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/>
    </xf>
    <xf numFmtId="0" fontId="25" fillId="3" borderId="9" applyAlignment="1" pivotButton="0" quotePrefix="0" xfId="0">
      <alignment horizontal="center" vertical="center" wrapText="1"/>
    </xf>
    <xf numFmtId="0" fontId="41" fillId="3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center" vertical="center" wrapText="1"/>
    </xf>
    <xf numFmtId="0" fontId="34" fillId="0" borderId="6" applyAlignment="1" pivotButton="0" quotePrefix="0" xfId="0">
      <alignment horizontal="left" vertical="center"/>
    </xf>
    <xf numFmtId="0" fontId="36" fillId="4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4" fillId="0" borderId="10" applyAlignment="1" pivotButton="0" quotePrefix="0" xfId="0">
      <alignment horizontal="left" vertical="center"/>
    </xf>
    <xf numFmtId="0" fontId="41" fillId="5" borderId="9" applyAlignment="1" pivotButton="0" quotePrefix="0" xfId="0">
      <alignment horizontal="center" vertical="center" wrapText="1"/>
    </xf>
    <xf numFmtId="0" fontId="46" fillId="0" borderId="6" applyAlignment="1" pivotButton="0" quotePrefix="0" xfId="0">
      <alignment horizontal="center" vertical="center" wrapText="1"/>
    </xf>
    <xf numFmtId="0" fontId="0" fillId="0" borderId="20" pivotButton="0" quotePrefix="0" xfId="0"/>
    <xf numFmtId="166" fontId="10" fillId="4" borderId="2" applyAlignment="1" pivotButton="0" quotePrefix="0" xfId="0">
      <alignment horizontal="center" vertical="center" wrapText="1"/>
    </xf>
    <xf numFmtId="0" fontId="0" fillId="0" borderId="19" pivotButton="0" quotePrefix="0" xfId="0"/>
    <xf numFmtId="171" fontId="13" fillId="8" borderId="1" applyAlignment="1" pivotButton="0" quotePrefix="0" xfId="0">
      <alignment horizontal="center" vertical="center" wrapText="1"/>
    </xf>
    <xf numFmtId="171" fontId="14" fillId="9" borderId="2" applyAlignment="1" pivotButton="0" quotePrefix="0" xfId="0">
      <alignment horizontal="center" vertical="center" wrapText="1"/>
    </xf>
    <xf numFmtId="171" fontId="9" fillId="6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165" fontId="15" fillId="4" borderId="2" applyAlignment="1" pivotButton="0" quotePrefix="0" xfId="0">
      <alignment horizontal="center" vertical="center" wrapText="1"/>
    </xf>
    <xf numFmtId="171" fontId="0" fillId="0" borderId="0" pivotButton="0" quotePrefix="0" xfId="0"/>
    <xf numFmtId="171" fontId="7" fillId="2" borderId="0" applyAlignment="1" pivotButton="0" quotePrefix="0" xfId="0">
      <alignment horizontal="center" vertical="center" wrapText="1"/>
    </xf>
    <xf numFmtId="171" fontId="4" fillId="3" borderId="1" applyAlignment="1" pivotButton="0" quotePrefix="0" xfId="0">
      <alignment horizontal="center" vertical="center" wrapText="1"/>
    </xf>
    <xf numFmtId="171" fontId="16" fillId="10" borderId="1" applyAlignment="1" pivotButton="0" quotePrefix="0" xfId="0">
      <alignment horizontal="center" vertical="center" wrapText="1"/>
    </xf>
    <xf numFmtId="164" fontId="18" fillId="10" borderId="1" applyAlignment="1" pivotButton="0" quotePrefix="0" xfId="0">
      <alignment horizontal="center" vertical="center" wrapText="1"/>
    </xf>
    <xf numFmtId="165" fontId="18" fillId="10" borderId="1" applyAlignment="1" pivotButton="0" quotePrefix="0" xfId="0">
      <alignment horizontal="center" vertical="center" wrapText="1"/>
    </xf>
    <xf numFmtId="165" fontId="19" fillId="10" borderId="1" applyAlignment="1" pivotButton="0" quotePrefix="0" xfId="0">
      <alignment horizontal="center" vertical="center" wrapText="1"/>
    </xf>
    <xf numFmtId="164" fontId="19" fillId="10" borderId="1" applyAlignment="1" pivotButton="0" quotePrefix="0" xfId="0">
      <alignment horizontal="center" vertical="center" wrapText="1"/>
    </xf>
    <xf numFmtId="167" fontId="18" fillId="10" borderId="1" applyAlignment="1" pivotButton="0" quotePrefix="0" xfId="0">
      <alignment horizontal="center" vertical="center" wrapText="1"/>
    </xf>
    <xf numFmtId="171" fontId="16" fillId="11" borderId="1" applyAlignment="1" pivotButton="0" quotePrefix="0" xfId="0">
      <alignment horizontal="center" vertical="center" wrapText="1"/>
    </xf>
    <xf numFmtId="164" fontId="18" fillId="11" borderId="1" applyAlignment="1" pivotButton="0" quotePrefix="0" xfId="0">
      <alignment horizontal="center" vertical="center" wrapText="1"/>
    </xf>
    <xf numFmtId="165" fontId="18" fillId="11" borderId="1" applyAlignment="1" pivotButton="0" quotePrefix="0" xfId="0">
      <alignment horizontal="center" vertical="center" wrapText="1"/>
    </xf>
    <xf numFmtId="165" fontId="19" fillId="11" borderId="1" applyAlignment="1" pivotButton="0" quotePrefix="0" xfId="0">
      <alignment horizontal="center" vertical="center" wrapText="1"/>
    </xf>
    <xf numFmtId="164" fontId="19" fillId="11" borderId="1" applyAlignment="1" pivotButton="0" quotePrefix="0" xfId="0">
      <alignment horizontal="center" vertical="center" wrapText="1"/>
    </xf>
    <xf numFmtId="167" fontId="18" fillId="11" borderId="1" applyAlignment="1" pivotButton="0" quotePrefix="0" xfId="0">
      <alignment horizontal="center" vertical="center" wrapText="1"/>
    </xf>
    <xf numFmtId="171" fontId="16" fillId="12" borderId="1" applyAlignment="1" pivotButton="0" quotePrefix="0" xfId="0">
      <alignment horizontal="center" vertical="center" wrapText="1"/>
    </xf>
    <xf numFmtId="164" fontId="18" fillId="12" borderId="1" applyAlignment="1" pivotButton="0" quotePrefix="0" xfId="0">
      <alignment horizontal="center" vertical="center" wrapText="1"/>
    </xf>
    <xf numFmtId="165" fontId="18" fillId="12" borderId="1" applyAlignment="1" pivotButton="0" quotePrefix="0" xfId="0">
      <alignment horizontal="center" vertical="center" wrapText="1"/>
    </xf>
    <xf numFmtId="165" fontId="19" fillId="12" borderId="1" applyAlignment="1" pivotButton="0" quotePrefix="0" xfId="0">
      <alignment horizontal="center" vertical="center" wrapText="1"/>
    </xf>
    <xf numFmtId="164" fontId="19" fillId="12" borderId="1" applyAlignment="1" pivotButton="0" quotePrefix="0" xfId="0">
      <alignment horizontal="center" vertical="center" wrapText="1"/>
    </xf>
    <xf numFmtId="167" fontId="18" fillId="12" borderId="1" applyAlignment="1" pivotButton="0" quotePrefix="0" xfId="0">
      <alignment horizontal="center" vertical="center" wrapText="1"/>
    </xf>
    <xf numFmtId="171" fontId="16" fillId="13" borderId="1" applyAlignment="1" pivotButton="0" quotePrefix="0" xfId="0">
      <alignment horizontal="center" vertical="center" wrapText="1"/>
    </xf>
    <xf numFmtId="164" fontId="18" fillId="13" borderId="1" applyAlignment="1" pivotButton="0" quotePrefix="0" xfId="0">
      <alignment horizontal="center" vertical="center" wrapText="1"/>
    </xf>
    <xf numFmtId="165" fontId="18" fillId="13" borderId="1" applyAlignment="1" pivotButton="0" quotePrefix="0" xfId="0">
      <alignment horizontal="center" vertical="center" wrapText="1"/>
    </xf>
    <xf numFmtId="165" fontId="19" fillId="13" borderId="1" applyAlignment="1" pivotButton="0" quotePrefix="0" xfId="0">
      <alignment horizontal="center" vertical="center" wrapText="1"/>
    </xf>
    <xf numFmtId="164" fontId="19" fillId="13" borderId="1" applyAlignment="1" pivotButton="0" quotePrefix="0" xfId="0">
      <alignment horizontal="center" vertical="center" wrapText="1"/>
    </xf>
    <xf numFmtId="167" fontId="18" fillId="13" borderId="1" applyAlignment="1" pivotButton="0" quotePrefix="0" xfId="0">
      <alignment horizontal="center" vertical="center" wrapText="1"/>
    </xf>
    <xf numFmtId="171" fontId="16" fillId="14" borderId="1" applyAlignment="1" pivotButton="0" quotePrefix="0" xfId="0">
      <alignment horizontal="center" vertical="center" wrapText="1"/>
    </xf>
    <xf numFmtId="164" fontId="18" fillId="14" borderId="1" applyAlignment="1" pivotButton="0" quotePrefix="0" xfId="0">
      <alignment horizontal="center" vertical="center" wrapText="1"/>
    </xf>
    <xf numFmtId="165" fontId="18" fillId="14" borderId="1" applyAlignment="1" pivotButton="0" quotePrefix="0" xfId="0">
      <alignment horizontal="center" vertical="center" wrapText="1"/>
    </xf>
    <xf numFmtId="165" fontId="19" fillId="14" borderId="1" applyAlignment="1" pivotButton="0" quotePrefix="0" xfId="0">
      <alignment horizontal="center" vertical="center" wrapText="1"/>
    </xf>
    <xf numFmtId="164" fontId="19" fillId="14" borderId="1" applyAlignment="1" pivotButton="0" quotePrefix="0" xfId="0">
      <alignment horizontal="center" vertical="center" wrapText="1"/>
    </xf>
    <xf numFmtId="167" fontId="18" fillId="14" borderId="1" applyAlignment="1" pivotButton="0" quotePrefix="0" xfId="0">
      <alignment horizontal="center" vertical="center" wrapText="1"/>
    </xf>
    <xf numFmtId="171" fontId="16" fillId="15" borderId="1" applyAlignment="1" pivotButton="0" quotePrefix="0" xfId="0">
      <alignment horizontal="center" vertical="center" wrapText="1"/>
    </xf>
    <xf numFmtId="164" fontId="18" fillId="15" borderId="1" applyAlignment="1" pivotButton="0" quotePrefix="0" xfId="0">
      <alignment horizontal="center" vertical="center" wrapText="1"/>
    </xf>
    <xf numFmtId="165" fontId="18" fillId="15" borderId="1" applyAlignment="1" pivotButton="0" quotePrefix="0" xfId="0">
      <alignment horizontal="center" vertical="center" wrapText="1"/>
    </xf>
    <xf numFmtId="165" fontId="19" fillId="15" borderId="1" applyAlignment="1" pivotButton="0" quotePrefix="0" xfId="0">
      <alignment horizontal="center" vertical="center" wrapText="1"/>
    </xf>
    <xf numFmtId="164" fontId="19" fillId="15" borderId="1" applyAlignment="1" pivotButton="0" quotePrefix="0" xfId="0">
      <alignment horizontal="center" vertical="center" wrapText="1"/>
    </xf>
    <xf numFmtId="167" fontId="18" fillId="15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71" fontId="7" fillId="16" borderId="0" applyAlignment="1" pivotButton="0" quotePrefix="0" xfId="0">
      <alignment horizontal="center" vertical="center" wrapText="1"/>
    </xf>
    <xf numFmtId="171" fontId="4" fillId="17" borderId="1" applyAlignment="1" pivotButton="0" quotePrefix="0" xfId="0">
      <alignment horizontal="center" vertical="center" wrapText="1"/>
    </xf>
    <xf numFmtId="171" fontId="18" fillId="18" borderId="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5" pivotButton="0" quotePrefix="0" xfId="0"/>
    <xf numFmtId="0" fontId="0" fillId="0" borderId="24" pivotButton="0" quotePrefix="0" xfId="0"/>
    <xf numFmtId="0" fontId="0" fillId="0" borderId="10" pivotButton="0" quotePrefix="0" xfId="0"/>
    <xf numFmtId="168" fontId="39" fillId="0" borderId="6" applyAlignment="1" pivotButton="0" quotePrefix="0" xfId="0">
      <alignment horizontal="center" vertical="center"/>
    </xf>
    <xf numFmtId="169" fontId="3" fillId="3" borderId="1" applyAlignment="1" pivotButton="0" quotePrefix="0" xfId="0">
      <alignment horizontal="center" vertical="center" wrapText="1"/>
    </xf>
    <xf numFmtId="170" fontId="18" fillId="10" borderId="1" applyAlignment="1" pivotButton="0" quotePrefix="0" xfId="0">
      <alignment horizontal="center" vertical="center" wrapText="1"/>
    </xf>
    <xf numFmtId="165" fontId="44" fillId="10" borderId="1" applyAlignment="1" pivotButton="0" quotePrefix="0" xfId="0">
      <alignment horizontal="center" vertical="center" wrapText="1"/>
    </xf>
    <xf numFmtId="170" fontId="18" fillId="11" borderId="1" applyAlignment="1" pivotButton="0" quotePrefix="0" xfId="0">
      <alignment horizontal="center" vertical="center" wrapText="1"/>
    </xf>
    <xf numFmtId="165" fontId="44" fillId="11" borderId="1" applyAlignment="1" pivotButton="0" quotePrefix="0" xfId="0">
      <alignment horizontal="center" vertical="center" wrapText="1"/>
    </xf>
    <xf numFmtId="170" fontId="18" fillId="12" borderId="1" applyAlignment="1" pivotButton="0" quotePrefix="0" xfId="0">
      <alignment horizontal="center" vertical="center" wrapText="1"/>
    </xf>
    <xf numFmtId="165" fontId="44" fillId="12" borderId="1" applyAlignment="1" pivotButton="0" quotePrefix="0" xfId="0">
      <alignment horizontal="center" vertical="center" wrapText="1"/>
    </xf>
    <xf numFmtId="170" fontId="18" fillId="13" borderId="1" applyAlignment="1" pivotButton="0" quotePrefix="0" xfId="0">
      <alignment horizontal="center" vertical="center" wrapText="1"/>
    </xf>
    <xf numFmtId="165" fontId="44" fillId="13" borderId="1" applyAlignment="1" pivotButton="0" quotePrefix="0" xfId="0">
      <alignment horizontal="center" vertical="center" wrapText="1"/>
    </xf>
    <xf numFmtId="170" fontId="18" fillId="14" borderId="1" applyAlignment="1" pivotButton="0" quotePrefix="0" xfId="0">
      <alignment horizontal="center" vertical="center" wrapText="1"/>
    </xf>
    <xf numFmtId="165" fontId="44" fillId="14" borderId="1" applyAlignment="1" pivotButton="0" quotePrefix="0" xfId="0">
      <alignment horizontal="center" vertical="center" wrapText="1"/>
    </xf>
    <xf numFmtId="170" fontId="18" fillId="15" borderId="1" applyAlignment="1" pivotButton="0" quotePrefix="0" xfId="0">
      <alignment horizontal="center" vertical="center" wrapText="1"/>
    </xf>
    <xf numFmtId="165" fontId="44" fillId="1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48" fillId="24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49" fillId="25" borderId="25" applyAlignment="1" pivotButton="0" quotePrefix="0" xfId="0">
      <alignment horizontal="center" vertical="center"/>
    </xf>
    <xf numFmtId="0" fontId="50" fillId="26" borderId="25" applyAlignment="1" pivotButton="0" quotePrefix="0" xfId="0">
      <alignment horizontal="left" vertical="center"/>
    </xf>
    <xf numFmtId="0" fontId="51" fillId="25" borderId="25" applyAlignment="1" pivotButton="0" quotePrefix="0" xfId="0">
      <alignment horizontal="center" vertical="center"/>
    </xf>
    <xf numFmtId="0" fontId="52" fillId="27" borderId="25" applyAlignment="1" pivotButton="0" quotePrefix="0" xfId="0">
      <alignment horizontal="center" vertical="center"/>
    </xf>
    <xf numFmtId="0" fontId="53" fillId="25" borderId="25" applyAlignment="1" pivotButton="0" quotePrefix="0" xfId="0">
      <alignment horizontal="center" vertical="center"/>
    </xf>
    <xf numFmtId="0" fontId="50" fillId="24" borderId="25" applyAlignment="1" pivotButton="0" quotePrefix="0" xfId="0">
      <alignment horizontal="center" vertical="center"/>
    </xf>
    <xf numFmtId="0" fontId="54" fillId="28" borderId="25" applyAlignment="1" pivotButton="0" quotePrefix="0" xfId="0">
      <alignment horizontal="center" vertical="center"/>
    </xf>
    <xf numFmtId="0" fontId="55" fillId="29" borderId="25" applyAlignment="1" pivotButton="0" quotePrefix="0" xfId="0">
      <alignment horizontal="center" vertical="center"/>
    </xf>
    <xf numFmtId="0" fontId="55" fillId="28" borderId="25" applyAlignment="1" pivotButton="0" quotePrefix="0" xfId="0">
      <alignment horizontal="center" vertical="center"/>
    </xf>
    <xf numFmtId="0" fontId="56" fillId="30" borderId="25" applyAlignment="1" pivotButton="0" quotePrefix="0" xfId="0">
      <alignment horizontal="center" vertical="center"/>
    </xf>
    <xf numFmtId="0" fontId="55" fillId="25" borderId="0" applyAlignment="1" pivotButton="0" quotePrefix="0" xfId="0">
      <alignment horizontal="center" vertical="center"/>
    </xf>
    <xf numFmtId="0" fontId="57" fillId="31" borderId="25" applyAlignment="1" pivotButton="0" quotePrefix="0" xfId="0">
      <alignment horizontal="center" vertical="center"/>
    </xf>
    <xf numFmtId="0" fontId="54" fillId="0" borderId="25" applyAlignment="1" pivotButton="0" quotePrefix="0" xfId="0">
      <alignment horizontal="center" vertical="center"/>
    </xf>
    <xf numFmtId="0" fontId="58" fillId="32" borderId="25" applyAlignment="1" pivotButton="0" quotePrefix="0" xfId="0">
      <alignment horizontal="center" vertical="center"/>
    </xf>
  </cellXfs>
  <cellStyles count="1">
    <cellStyle name="標準" xfId="0" builtinId="0"/>
  </cellStyles>
  <dxfs count="220"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メイリオ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メイリオ"/>
        <charset val="1"/>
        <b val="1"/>
        <color rgb="FF1B5E20"/>
        <sz val="9"/>
      </font>
      <fill>
        <patternFill>
          <bgColor rgb="FFC8E6C9"/>
        </patternFill>
      </fill>
    </dxf>
    <dxf>
      <fill>
        <patternFill>
          <bgColor rgb="FFFFEBEE"/>
        </patternFill>
      </fill>
    </dxf>
    <dxf>
      <font>
        <b val="1"/>
        <color rgb="00D32F2F"/>
        <sz val="11"/>
      </font>
      <fill>
        <patternFill patternType="solid">
          <fgColor rgb="00FFCDD2"/>
          <bgColor rgb="00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695C"/>
      <rgbColor rgb="FFBBBBBB"/>
      <rgbColor rgb="FF455A64"/>
      <rgbColor rgb="FFECEFF1"/>
      <rgbColor rgb="FF993366"/>
      <rgbColor rgb="FFFFF9C4"/>
      <rgbColor rgb="FFE0F7FA"/>
      <rgbColor rgb="FF660066"/>
      <rgbColor rgb="FFF5F5F5"/>
      <rgbColor rgb="FF1565C0"/>
      <rgbColor rgb="FFE0E0E0"/>
      <rgbColor rgb="FF000080"/>
      <rgbColor rgb="FFFF00FF"/>
      <rgbColor rgb="FFE8F5E9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FFF3E0"/>
      <rgbColor rgb="FFE8EAF6"/>
      <rgbColor rgb="FFFCE4EC"/>
      <rgbColor rgb="FFF3E5F5"/>
      <rgbColor rgb="FFFFCDD2"/>
      <rgbColor rgb="FF3366FF"/>
      <rgbColor rgb="FF33CCCC"/>
      <rgbColor rgb="FFFAFAFA"/>
      <rgbColor rgb="FFFFEBEE"/>
      <rgbColor rgb="FFFF9900"/>
      <rgbColor rgb="FFFF6600"/>
      <rgbColor rgb="FF4A7C9E"/>
      <rgbColor rgb="FFAAAAAA"/>
      <rgbColor rgb="FF1A237E"/>
      <rgbColor rgb="FF339966"/>
      <rgbColor rgb="FF004D40"/>
      <rgbColor rgb="FF555555"/>
      <rgbColor rgb="FFB71C1C"/>
      <rgbColor rgb="FF993366"/>
      <rgbColor rgb="FF37474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ColWidth="8.5" defaultRowHeight="18"/>
  <cols>
    <col width="10.3984375" customWidth="1" style="15" min="1" max="1"/>
    <col width="6.8984375" customWidth="1" style="15" min="3" max="3"/>
    <col width="6" customWidth="1" style="15" min="4" max="4"/>
    <col width="10.59765625" customWidth="1" style="15" min="5" max="5"/>
    <col width="9" customWidth="1" style="15" min="6" max="6"/>
    <col width="15.3984375" customWidth="1" style="15" min="7" max="7"/>
    <col width="12" customWidth="1" style="15" min="8" max="8"/>
    <col width="6" customWidth="1" style="15" min="9" max="9"/>
    <col width="6.8984375" customWidth="1" style="15" min="11" max="11"/>
    <col width="6" customWidth="1" style="15" min="12" max="12"/>
    <col width="5" customWidth="1" style="15" min="18" max="18"/>
    <col width="9" customWidth="1" style="15" min="19" max="20"/>
    <col width="8" customWidth="1" style="15" min="21" max="21"/>
    <col width="14" customWidth="1" style="15" min="22" max="22"/>
  </cols>
  <sheetData>
    <row r="1" ht="10.5" customHeight="1" s="15">
      <c r="A1" s="92" t="inlineStr">
        <is>
          <t>参考様式第4－2号別紙(規則第22号第1項第3号関係)</t>
        </is>
      </c>
      <c r="G1" s="93" t="n"/>
      <c r="H1" s="94" t="inlineStr">
        <is>
          <t>(日本工業規格A列4）</t>
        </is>
      </c>
      <c r="R1" s="168" t="inlineStr">
        <is>
          <t>【月次 時間数 進捗モニター】</t>
        </is>
      </c>
    </row>
    <row r="2" ht="12.75" customHeight="1" s="15">
      <c r="A2" s="95" t="inlineStr">
        <is>
          <t>A・B・C・D・E・F</t>
        </is>
      </c>
    </row>
    <row r="3" ht="18" customHeight="1" s="15">
      <c r="R3" s="96" t="inlineStr">
        <is>
          <t>番号</t>
        </is>
      </c>
      <c r="S3" s="96" t="inlineStr">
        <is>
          <t>必要時間</t>
        </is>
      </c>
      <c r="T3" s="96" t="inlineStr">
        <is>
          <t>実績時間</t>
        </is>
      </c>
      <c r="U3" s="96" t="inlineStr">
        <is>
          <t>達成率</t>
        </is>
      </c>
      <c r="V3" s="96" t="inlineStr">
        <is>
          <t>状態</t>
        </is>
      </c>
    </row>
    <row r="4" ht="18.75" customHeight="1" s="15">
      <c r="C4" s="169" t="inlineStr">
        <is>
          <t xml:space="preserve">　　　技　　能　　実　　習　　日　　誌</t>
        </is>
      </c>
      <c r="R4" s="97" t="n">
        <v>1</v>
      </c>
      <c r="S4" s="201" t="n">
        <v>90</v>
      </c>
      <c r="T4" s="204">
        <f>COUNTIF($D$9:$D$39,1)*8</f>
        <v/>
      </c>
      <c r="U4" s="98">
        <f>T4/S4</f>
        <v/>
      </c>
      <c r="V4" s="99">
        <f>IF(T4&gt;=S4,"✓ 達成","△ あと "&amp;TEXT(S4-T4,"0")&amp;"時間")</f>
        <v/>
      </c>
    </row>
    <row r="5" ht="18.75" customHeight="1" s="15">
      <c r="D5" s="170" t="inlineStr">
        <is>
          <t>（　　　2026　　年　　5　　月分）</t>
        </is>
      </c>
      <c r="R5" s="100" t="n">
        <v>2</v>
      </c>
      <c r="S5" s="207" t="n">
        <v>10</v>
      </c>
      <c r="T5" s="210">
        <f>COUNTIF($D$9:$D$39,2)*8</f>
        <v/>
      </c>
      <c r="U5" s="101">
        <f>T5/S5</f>
        <v/>
      </c>
      <c r="V5" s="102">
        <f>IF(T5&gt;=S5,"✓ 達成","△ あと "&amp;TEXT(S5-T5,"0")&amp;"時間")</f>
        <v/>
      </c>
    </row>
    <row r="6" ht="18.75" customHeight="1" s="15">
      <c r="E6" s="171" t="inlineStr">
        <is>
          <t xml:space="preserve">　　　　　　氏名　アルフィアン ソレフル ハディ</t>
        </is>
      </c>
      <c r="F6" s="242" t="n"/>
      <c r="G6" s="242" t="n"/>
      <c r="R6" s="103" t="n">
        <v>3</v>
      </c>
      <c r="S6" s="213" t="n">
        <v>44</v>
      </c>
      <c r="T6" s="216">
        <f>COUNTIF($D$9:$D$39,3)*8</f>
        <v/>
      </c>
      <c r="U6" s="104">
        <f>T6/S6</f>
        <v/>
      </c>
      <c r="V6" s="105">
        <f>IF(T6&gt;=S6,"✓ 達成","△ あと "&amp;TEXT(S6-T6,"0")&amp;"時間")</f>
        <v/>
      </c>
    </row>
    <row r="7" ht="18.75" customHeight="1" s="15">
      <c r="A7" s="106" t="inlineStr">
        <is>
          <t>(対象:別紙｢技能実習生一覧表｣のとおり)</t>
        </is>
      </c>
      <c r="R7" s="107" t="n">
        <v>4</v>
      </c>
      <c r="S7" s="219" t="n">
        <v>8</v>
      </c>
      <c r="T7" s="222">
        <f>COUNTIF($D$9:$D$39,4)*8</f>
        <v/>
      </c>
      <c r="U7" s="108">
        <f>T7/S7</f>
        <v/>
      </c>
      <c r="V7" s="109">
        <f>IF(T7&gt;=S7,"✓ 達成","△ あと "&amp;TEXT(S7-T7,"0")&amp;"時間")</f>
        <v/>
      </c>
    </row>
    <row r="8" ht="18.75" customHeight="1" s="15">
      <c r="A8" s="172" t="inlineStr">
        <is>
          <t>日付</t>
        </is>
      </c>
      <c r="B8" s="172" t="inlineStr">
        <is>
          <t>技能実習生に従事させた業務</t>
        </is>
      </c>
      <c r="C8" s="243" t="n"/>
      <c r="D8" s="244" t="n"/>
      <c r="E8" s="173" t="inlineStr">
        <is>
          <t>技能実習生に対する指導の内容</t>
        </is>
      </c>
      <c r="F8" s="243" t="n"/>
      <c r="G8" s="244" t="n"/>
      <c r="H8" s="173" t="inlineStr">
        <is>
          <t>指導者氏名</t>
        </is>
      </c>
      <c r="J8" s="112" t="inlineStr">
        <is>
          <t>従事させた業務</t>
        </is>
      </c>
      <c r="K8" s="113" t="n"/>
      <c r="M8" s="174" t="n"/>
      <c r="R8" s="114" t="n">
        <v>5</v>
      </c>
      <c r="S8" s="225" t="n">
        <v>15</v>
      </c>
      <c r="T8" s="228">
        <f>COUNTIF($D$9:$D$39,5)*8</f>
        <v/>
      </c>
      <c r="U8" s="115">
        <f>T8/S8</f>
        <v/>
      </c>
      <c r="V8" s="116">
        <f>IF(T8&gt;=S8,"✓ 達成","△ あと "&amp;TEXT(S8-T8,"0")&amp;"時間")</f>
        <v/>
      </c>
    </row>
    <row r="9" ht="18.75" customHeight="1" s="15">
      <c r="A9" s="245" t="n">
        <v>46143</v>
      </c>
      <c r="B9" s="175" t="inlineStr">
        <is>
          <t>掘削作業</t>
        </is>
      </c>
      <c r="C9" s="244" t="n"/>
      <c r="D9" s="118" t="n">
        <v>3</v>
      </c>
      <c r="E9" s="176" t="inlineStr">
        <is>
          <t>手元作業</t>
        </is>
      </c>
      <c r="F9" s="243" t="n"/>
      <c r="G9" s="244" t="n"/>
      <c r="H9" s="119" t="inlineStr">
        <is>
          <t>中原</t>
        </is>
      </c>
      <c r="I9" s="184" t="inlineStr">
        <is>
          <t>1-(1)</t>
        </is>
      </c>
      <c r="J9" s="92" t="inlineStr">
        <is>
          <t>走行操作作業</t>
        </is>
      </c>
      <c r="K9" s="121" t="n"/>
      <c r="L9" s="184" t="n"/>
      <c r="M9" s="174" t="n"/>
      <c r="R9" s="122" t="n">
        <v>6</v>
      </c>
      <c r="S9" s="231" t="n">
        <v>8</v>
      </c>
      <c r="T9" s="234">
        <f>COUNTIF($D$9:$D$39,6)*8</f>
        <v/>
      </c>
      <c r="U9" s="123">
        <f>T9/S9</f>
        <v/>
      </c>
      <c r="V9" s="124">
        <f>IF(T9&gt;=S9,"✓ 達成","△ あと "&amp;TEXT(S9-T9,"0")&amp;"時間")</f>
        <v/>
      </c>
    </row>
    <row r="10" ht="21.75" customHeight="1" s="15">
      <c r="A10" s="245" t="n">
        <v>46144</v>
      </c>
      <c r="B10" s="175" t="inlineStr">
        <is>
          <t>安全衛生業務</t>
        </is>
      </c>
      <c r="C10" s="244" t="n"/>
      <c r="D10" s="184" t="n">
        <v>6</v>
      </c>
      <c r="E10" s="176" t="inlineStr">
        <is>
          <t>安全訓練</t>
        </is>
      </c>
      <c r="F10" s="243" t="n"/>
      <c r="G10" s="244" t="n"/>
      <c r="H10" s="119" t="inlineStr">
        <is>
          <t>中原</t>
        </is>
      </c>
      <c r="I10" s="184" t="inlineStr">
        <is>
          <t>①</t>
        </is>
      </c>
      <c r="J10" s="92" t="inlineStr">
        <is>
          <t>発進操作</t>
        </is>
      </c>
      <c r="K10" s="121" t="n"/>
      <c r="L10" s="184" t="n"/>
      <c r="M10" s="174" t="n"/>
      <c r="R10" s="177" t="inlineStr">
        <is>
          <t>合計実績</t>
        </is>
      </c>
      <c r="S10" s="194" t="n"/>
      <c r="T10" s="246">
        <f>SUM(T4:T9)</f>
        <v/>
      </c>
      <c r="U10" s="178">
        <f>IF(T10&gt;=175,"✓ 全番号クリア可能","△ まだ不足あり")</f>
        <v/>
      </c>
      <c r="V10" s="194" t="n"/>
    </row>
    <row r="11" ht="17.25" customHeight="1" s="15">
      <c r="A11" s="245" t="n">
        <v>46145</v>
      </c>
      <c r="B11" s="175" t="inlineStr">
        <is>
          <t>休み</t>
        </is>
      </c>
      <c r="C11" s="244" t="n"/>
      <c r="D11" s="118" t="n"/>
      <c r="E11" s="176" t="n"/>
      <c r="F11" s="243" t="n"/>
      <c r="G11" s="244" t="n"/>
      <c r="H11" s="119" t="n"/>
      <c r="I11" s="184" t="inlineStr">
        <is>
          <t>②</t>
        </is>
      </c>
      <c r="J11" s="92" t="inlineStr">
        <is>
          <t>平坦地走行操作</t>
        </is>
      </c>
      <c r="K11" s="121" t="n"/>
      <c r="L11" s="184" t="n"/>
      <c r="M11" s="174" t="n"/>
    </row>
    <row r="12" ht="21.75" customHeight="1" s="15">
      <c r="A12" s="245" t="n">
        <v>46146</v>
      </c>
      <c r="B12" s="175" t="inlineStr">
        <is>
          <t>休み</t>
        </is>
      </c>
      <c r="C12" s="244" t="n"/>
      <c r="D12" s="118" t="n"/>
      <c r="E12" s="179" t="n"/>
      <c r="F12" s="243" t="n"/>
      <c r="G12" s="244" t="n"/>
      <c r="H12" s="119" t="n"/>
      <c r="I12" s="184" t="inlineStr">
        <is>
          <t>③</t>
        </is>
      </c>
      <c r="J12" s="92" t="inlineStr">
        <is>
          <t>登坂操作</t>
        </is>
      </c>
      <c r="K12" s="121" t="n"/>
      <c r="L12" s="184" t="n"/>
      <c r="M12" s="180" t="n"/>
      <c r="R12" s="181" t="inlineStr">
        <is>
          <t>【翌月 振り分け提案】　出勤日数を入力 ↓</t>
        </is>
      </c>
    </row>
    <row r="13" ht="17.25" customHeight="1" s="15">
      <c r="A13" s="245" t="n">
        <v>46147</v>
      </c>
      <c r="B13" s="175" t="inlineStr">
        <is>
          <t>休み</t>
        </is>
      </c>
      <c r="C13" s="244" t="n"/>
      <c r="D13" s="118" t="n"/>
      <c r="E13" s="182" t="n"/>
      <c r="F13" s="243" t="n"/>
      <c r="G13" s="244" t="n"/>
      <c r="H13" s="126" t="n"/>
      <c r="I13" s="184" t="inlineStr">
        <is>
          <t>④</t>
        </is>
      </c>
      <c r="J13" s="92" t="inlineStr">
        <is>
          <t>降坂操作</t>
        </is>
      </c>
      <c r="K13" s="121" t="n"/>
      <c r="L13" s="184" t="n"/>
      <c r="M13" s="174" t="n"/>
      <c r="R13" s="127" t="inlineStr">
        <is>
          <t>出勤日数 →</t>
        </is>
      </c>
      <c r="S13" s="196" t="n">
        <v>22</v>
      </c>
      <c r="T13" s="183">
        <f>IF(S13&gt;=24,"✓ 必要日数(24日)をクリアできます","⚠ 最低24日必要です")</f>
        <v/>
      </c>
      <c r="U13" s="194" t="n"/>
      <c r="V13" s="194" t="n"/>
    </row>
    <row r="14" ht="18" customHeight="1" s="15">
      <c r="A14" s="245" t="n">
        <v>46148</v>
      </c>
      <c r="B14" s="175" t="inlineStr">
        <is>
          <t>休み</t>
        </is>
      </c>
      <c r="C14" s="244" t="n"/>
      <c r="D14" s="118" t="n"/>
      <c r="E14" s="182" t="n"/>
      <c r="F14" s="243" t="n"/>
      <c r="G14" s="244" t="n"/>
      <c r="H14" s="126" t="n"/>
      <c r="I14" s="184" t="inlineStr">
        <is>
          <t>⑤</t>
        </is>
      </c>
      <c r="J14" s="92" t="inlineStr">
        <is>
          <t>停止操作</t>
        </is>
      </c>
      <c r="K14" s="121" t="n"/>
      <c r="L14" s="184" t="n"/>
      <c r="M14" s="184" t="n"/>
      <c r="R14" s="128" t="inlineStr">
        <is>
          <t>番号</t>
        </is>
      </c>
      <c r="S14" s="128" t="inlineStr">
        <is>
          <t>必要日数</t>
        </is>
      </c>
      <c r="T14" s="128" t="inlineStr">
        <is>
          <t>推奨割当日</t>
        </is>
      </c>
      <c r="U14" s="128" t="inlineStr">
        <is>
          <t>今月残り日</t>
        </is>
      </c>
      <c r="V14" s="128" t="inlineStr">
        <is>
          <t>代表業務</t>
        </is>
      </c>
    </row>
    <row r="15" ht="18" customHeight="1" s="15">
      <c r="A15" s="245" t="n">
        <v>46149</v>
      </c>
      <c r="B15" s="175" t="inlineStr">
        <is>
          <t>締固め作業</t>
        </is>
      </c>
      <c r="C15" s="244" t="n"/>
      <c r="D15" s="184" t="n">
        <v>3</v>
      </c>
      <c r="E15" s="182" t="inlineStr">
        <is>
          <t>ランマ転圧</t>
        </is>
      </c>
      <c r="F15" s="243" t="n"/>
      <c r="G15" s="244" t="n"/>
      <c r="H15" s="126" t="inlineStr">
        <is>
          <t>中原</t>
        </is>
      </c>
      <c r="I15" s="184" t="inlineStr">
        <is>
          <t>⑥</t>
        </is>
      </c>
      <c r="J15" s="92" t="inlineStr">
        <is>
          <t>下車操作</t>
        </is>
      </c>
      <c r="K15" s="121" t="n"/>
      <c r="M15" s="184" t="n"/>
      <c r="R15" s="97" t="n">
        <v>1</v>
      </c>
      <c r="S15" s="247" t="n">
        <v>12</v>
      </c>
      <c r="T15" s="248">
        <f>ROUND($S$13*12/24,0)</f>
        <v/>
      </c>
      <c r="U15" s="202">
        <f>MAX(0,12-COUNTIF($D$9:$D$39,1))</f>
        <v/>
      </c>
      <c r="V15" s="131" t="inlineStr">
        <is>
          <t>掘削・積込・走行</t>
        </is>
      </c>
    </row>
    <row r="16" ht="18" customHeight="1" s="15">
      <c r="A16" s="245" t="n">
        <v>46150</v>
      </c>
      <c r="B16" s="175" t="inlineStr">
        <is>
          <t>土工作業(対象職種・作業に係る手作業の作業）</t>
        </is>
      </c>
      <c r="C16" s="244" t="n"/>
      <c r="D16" s="118" t="n">
        <v>3</v>
      </c>
      <c r="E16" s="182" t="inlineStr">
        <is>
          <t>補助作業</t>
        </is>
      </c>
      <c r="F16" s="243" t="n"/>
      <c r="G16" s="244" t="n"/>
      <c r="H16" s="126" t="inlineStr">
        <is>
          <t>中原</t>
        </is>
      </c>
      <c r="I16" s="184" t="inlineStr">
        <is>
          <t>1-(2)</t>
        </is>
      </c>
      <c r="J16" s="92" t="inlineStr">
        <is>
          <t>掘削作業</t>
        </is>
      </c>
      <c r="K16" s="121" t="n"/>
      <c r="M16" s="184" t="n"/>
      <c r="R16" s="100" t="n">
        <v>2</v>
      </c>
      <c r="S16" s="249" t="n">
        <v>2</v>
      </c>
      <c r="T16" s="250">
        <f>ROUND($S$13*2/24,0)</f>
        <v/>
      </c>
      <c r="U16" s="208">
        <f>MAX(0,2-COUNTIF($D$9:$D$39,2))</f>
        <v/>
      </c>
      <c r="V16" s="134" t="inlineStr">
        <is>
          <t>点検・整理</t>
        </is>
      </c>
    </row>
    <row r="17" ht="18" customHeight="1" s="15">
      <c r="A17" s="245" t="n">
        <v>46151</v>
      </c>
      <c r="B17" s="175" t="inlineStr">
        <is>
          <t>安全衛生業務</t>
        </is>
      </c>
      <c r="C17" s="244" t="n"/>
      <c r="D17" s="118" t="n">
        <v>4</v>
      </c>
      <c r="E17" s="185" t="inlineStr">
        <is>
          <t>荷物搬入</t>
        </is>
      </c>
      <c r="F17" s="243" t="n"/>
      <c r="G17" s="244" t="n"/>
      <c r="H17" s="126" t="inlineStr">
        <is>
          <t>中原</t>
        </is>
      </c>
      <c r="I17" s="184" t="inlineStr">
        <is>
          <t>①</t>
        </is>
      </c>
      <c r="J17" s="92" t="inlineStr">
        <is>
          <t>溝掘削作業</t>
        </is>
      </c>
      <c r="K17" s="121" t="n"/>
      <c r="M17" s="184" t="n"/>
      <c r="R17" s="103" t="n">
        <v>3</v>
      </c>
      <c r="S17" s="251" t="n">
        <v>6</v>
      </c>
      <c r="T17" s="252">
        <f>ROUND($S$13*6/24,0)</f>
        <v/>
      </c>
      <c r="U17" s="214">
        <f>MAX(0,6-COUNTIF($D$9:$D$39,3))</f>
        <v/>
      </c>
      <c r="V17" s="137" t="inlineStr">
        <is>
          <t>掘削・締固・土工</t>
        </is>
      </c>
    </row>
    <row r="18" ht="18" customHeight="1" s="15">
      <c r="A18" s="245" t="n">
        <v>46152</v>
      </c>
      <c r="B18" s="175" t="inlineStr">
        <is>
          <t>休み</t>
        </is>
      </c>
      <c r="C18" s="244" t="n"/>
      <c r="D18" s="118" t="n"/>
      <c r="E18" s="176" t="n"/>
      <c r="F18" s="243" t="n"/>
      <c r="G18" s="244" t="n"/>
      <c r="H18" s="119" t="n"/>
      <c r="I18" s="184" t="inlineStr">
        <is>
          <t>②</t>
        </is>
      </c>
      <c r="J18" s="92" t="inlineStr">
        <is>
          <t>建築物の基礎掘削作業</t>
        </is>
      </c>
      <c r="K18" s="121" t="n"/>
      <c r="M18" s="184" t="n"/>
      <c r="R18" s="107" t="n">
        <v>4</v>
      </c>
      <c r="S18" s="253" t="n">
        <v>1</v>
      </c>
      <c r="T18" s="254">
        <f>ROUND($S$13*1/24,0)</f>
        <v/>
      </c>
      <c r="U18" s="220">
        <f>MAX(0,1-COUNTIF($D$9:$D$39,4))</f>
        <v/>
      </c>
      <c r="V18" s="140" t="inlineStr">
        <is>
          <t>安全衛生・機械管理</t>
        </is>
      </c>
    </row>
    <row r="19" ht="18" customHeight="1" s="15">
      <c r="A19" s="245" t="n">
        <v>46153</v>
      </c>
      <c r="B19" s="175" t="inlineStr">
        <is>
          <t>建設機械の移送車両への積載及び移送作業</t>
        </is>
      </c>
      <c r="C19" s="244" t="n"/>
      <c r="D19" s="118" t="n">
        <v>5</v>
      </c>
      <c r="E19" s="176" t="inlineStr">
        <is>
          <t>声出し誘導</t>
        </is>
      </c>
      <c r="F19" s="243" t="n"/>
      <c r="G19" s="244" t="n"/>
      <c r="H19" s="119" t="inlineStr">
        <is>
          <t>中原</t>
        </is>
      </c>
      <c r="I19" s="184" t="inlineStr">
        <is>
          <t>③</t>
        </is>
      </c>
      <c r="J19" s="92" t="inlineStr">
        <is>
          <t>地表面の浅い掘削作業</t>
        </is>
      </c>
      <c r="K19" s="121" t="n"/>
      <c r="M19" s="184" t="n"/>
      <c r="R19" s="114" t="n">
        <v>5</v>
      </c>
      <c r="S19" s="255" t="n">
        <v>2</v>
      </c>
      <c r="T19" s="256">
        <f>ROUND($S$13*2/24,0)</f>
        <v/>
      </c>
      <c r="U19" s="226">
        <f>MAX(0,2-COUNTIF($D$9:$D$39,5))</f>
        <v/>
      </c>
      <c r="V19" s="143" t="inlineStr">
        <is>
          <t>機械移送</t>
        </is>
      </c>
    </row>
    <row r="20" ht="18" customHeight="1" s="15">
      <c r="A20" s="245" t="n">
        <v>46154</v>
      </c>
      <c r="B20" s="175" t="inlineStr">
        <is>
          <t>掘削作業</t>
        </is>
      </c>
      <c r="C20" s="244" t="n"/>
      <c r="D20" s="118" t="n">
        <v>1</v>
      </c>
      <c r="E20" s="182" t="inlineStr">
        <is>
          <t>マンホール布設</t>
        </is>
      </c>
      <c r="F20" s="243" t="n"/>
      <c r="G20" s="244" t="n"/>
      <c r="H20" s="126" t="inlineStr">
        <is>
          <t>中原</t>
        </is>
      </c>
      <c r="I20" s="184" t="inlineStr">
        <is>
          <t>④</t>
        </is>
      </c>
      <c r="J20" s="92" t="inlineStr">
        <is>
          <t>法面の切取り仕上げ作業</t>
        </is>
      </c>
      <c r="K20" s="121" t="n"/>
      <c r="M20" s="184" t="n"/>
      <c r="R20" s="122" t="n">
        <v>6</v>
      </c>
      <c r="S20" s="257" t="n">
        <v>1</v>
      </c>
      <c r="T20" s="258">
        <f>ROUND($S$13*1/24,0)</f>
        <v/>
      </c>
      <c r="U20" s="232">
        <f>MAX(0,1-COUNTIF($D$9:$D$39,6))</f>
        <v/>
      </c>
      <c r="V20" s="146" t="inlineStr">
        <is>
          <t>安全訓練</t>
        </is>
      </c>
    </row>
    <row r="21" ht="21.75" customHeight="1" s="15">
      <c r="A21" s="245" t="n">
        <v>46155</v>
      </c>
      <c r="B21" s="175" t="inlineStr">
        <is>
          <t>積込み作業</t>
        </is>
      </c>
      <c r="C21" s="244" t="n"/>
      <c r="D21" s="118" t="n">
        <v>3</v>
      </c>
      <c r="E21" s="182" t="inlineStr">
        <is>
          <t>手元作業</t>
        </is>
      </c>
      <c r="F21" s="243" t="n"/>
      <c r="G21" s="244" t="n"/>
      <c r="H21" s="126" t="inlineStr">
        <is>
          <t>中原</t>
        </is>
      </c>
      <c r="I21" s="184" t="inlineStr">
        <is>
          <t>⑤</t>
        </is>
      </c>
      <c r="J21" s="92" t="inlineStr">
        <is>
          <t>土砂積込み作業</t>
        </is>
      </c>
      <c r="K21" s="121" t="n"/>
      <c r="M21" s="184" t="n"/>
      <c r="R21" s="186" t="inlineStr">
        <is>
          <t>推奨日数合計</t>
        </is>
      </c>
      <c r="S21" s="194" t="n"/>
      <c r="T21" s="259">
        <f>SUM(T15:T20)</f>
        <v/>
      </c>
      <c r="U21" s="186">
        <f>IF($S$13&gt;=24,"✓ 全番号達成可能","⚠ 出勤日数が不足")</f>
        <v/>
      </c>
      <c r="V21" s="194" t="n"/>
    </row>
    <row r="22" ht="17.25" customHeight="1" s="15">
      <c r="A22" s="245" t="n">
        <v>46156</v>
      </c>
      <c r="B22" s="175" t="inlineStr">
        <is>
          <t>建設機械の移送車両への積載及び移送作業</t>
        </is>
      </c>
      <c r="C22" s="244" t="n"/>
      <c r="D22" s="184" t="n">
        <v>5</v>
      </c>
      <c r="E22" s="182" t="inlineStr">
        <is>
          <t>ユンボ回送</t>
        </is>
      </c>
      <c r="F22" s="243" t="n"/>
      <c r="G22" s="244" t="n"/>
      <c r="H22" s="126" t="inlineStr">
        <is>
          <t>中原</t>
        </is>
      </c>
      <c r="I22" s="184" t="inlineStr">
        <is>
          <t>⑥</t>
        </is>
      </c>
      <c r="J22" s="92" t="inlineStr">
        <is>
          <t>固結した土砂の破砕及び積込み作業</t>
        </is>
      </c>
      <c r="K22" s="121" t="n"/>
      <c r="M22" s="184" t="n"/>
    </row>
    <row r="23" ht="17.25" customHeight="1" s="15">
      <c r="A23" s="245" t="n">
        <v>46157</v>
      </c>
      <c r="B23" s="175" t="inlineStr">
        <is>
          <t>作業開始前の安全装置等の点検作業</t>
        </is>
      </c>
      <c r="C23" s="244" t="n"/>
      <c r="D23" s="118" t="n">
        <v>2</v>
      </c>
      <c r="E23" s="182" t="inlineStr">
        <is>
          <t>目視点検</t>
        </is>
      </c>
      <c r="F23" s="243" t="n"/>
      <c r="G23" s="244" t="n"/>
      <c r="H23" s="126" t="inlineStr">
        <is>
          <t>中原</t>
        </is>
      </c>
      <c r="I23" s="184" t="inlineStr">
        <is>
          <t>⑦</t>
        </is>
      </c>
      <c r="J23" s="92" t="inlineStr">
        <is>
          <t>岩石の移動、除去作業</t>
        </is>
      </c>
      <c r="K23" s="121" t="n"/>
      <c r="M23" s="184" t="n"/>
    </row>
    <row r="24" ht="17.25" customHeight="1" s="15">
      <c r="A24" s="245" t="n">
        <v>46158</v>
      </c>
      <c r="B24" s="175" t="inlineStr">
        <is>
          <t>土砂積込み作業</t>
        </is>
      </c>
      <c r="C24" s="244" t="n"/>
      <c r="D24" s="118" t="n">
        <v>1</v>
      </c>
      <c r="E24" s="182" t="inlineStr">
        <is>
          <t>周囲の確認</t>
        </is>
      </c>
      <c r="F24" s="243" t="n"/>
      <c r="G24" s="244" t="n"/>
      <c r="H24" s="126" t="inlineStr">
        <is>
          <t>中原</t>
        </is>
      </c>
      <c r="I24" s="184" t="inlineStr">
        <is>
          <t>⑧</t>
        </is>
      </c>
      <c r="J24" s="92" t="inlineStr">
        <is>
          <t>粉砕した砕石の積込み作業</t>
        </is>
      </c>
      <c r="K24" s="121" t="n"/>
      <c r="M24" s="184" t="n"/>
    </row>
    <row r="25" ht="17.25" customHeight="1" s="15">
      <c r="A25" s="245" t="n">
        <v>46159</v>
      </c>
      <c r="B25" s="175" t="inlineStr">
        <is>
          <t>休み</t>
        </is>
      </c>
      <c r="C25" s="244" t="n"/>
      <c r="D25" s="118" t="n"/>
      <c r="E25" s="182" t="n"/>
      <c r="F25" s="243" t="n"/>
      <c r="G25" s="244" t="n"/>
      <c r="H25" s="126" t="n"/>
      <c r="I25" s="184" t="inlineStr">
        <is>
          <t>1-(3)</t>
        </is>
      </c>
      <c r="J25" s="92" t="inlineStr">
        <is>
          <t>建設機械点検作業</t>
        </is>
      </c>
      <c r="K25" s="121" t="n"/>
      <c r="M25" s="184" t="n"/>
    </row>
    <row r="26" ht="17.25" customHeight="1" s="15">
      <c r="A26" s="245" t="n">
        <v>46160</v>
      </c>
      <c r="B26" s="175" t="inlineStr">
        <is>
          <t>建設機械施工職種に必要な整理整頓作業</t>
        </is>
      </c>
      <c r="C26" s="244" t="n"/>
      <c r="D26" s="118" t="n">
        <v>2</v>
      </c>
      <c r="E26" s="176" t="inlineStr">
        <is>
          <t>現場整理</t>
        </is>
      </c>
      <c r="F26" s="243" t="n"/>
      <c r="G26" s="244" t="n"/>
      <c r="H26" s="119" t="inlineStr">
        <is>
          <t>中原</t>
        </is>
      </c>
      <c r="I26" s="184" t="inlineStr">
        <is>
          <t>①</t>
        </is>
      </c>
      <c r="J26" s="92" t="inlineStr">
        <is>
          <t>毎日整備</t>
        </is>
      </c>
      <c r="K26" s="121" t="n"/>
      <c r="M26" s="184" t="n"/>
    </row>
    <row r="27" ht="17.25" customHeight="1" s="15">
      <c r="A27" s="245" t="n">
        <v>46161</v>
      </c>
      <c r="B27" s="175" t="inlineStr">
        <is>
          <t>建設機械の管理及び点検・整備作業</t>
        </is>
      </c>
      <c r="C27" s="244" t="n"/>
      <c r="D27" s="118" t="n">
        <v>3</v>
      </c>
      <c r="E27" s="182" t="inlineStr">
        <is>
          <t>バケット交換</t>
        </is>
      </c>
      <c r="F27" s="243" t="n"/>
      <c r="G27" s="244" t="n"/>
      <c r="H27" s="126" t="inlineStr">
        <is>
          <t>中原</t>
        </is>
      </c>
      <c r="I27" s="184" t="inlineStr">
        <is>
          <t>②</t>
        </is>
      </c>
      <c r="J27" s="92" t="inlineStr">
        <is>
          <t>始業前点検</t>
        </is>
      </c>
      <c r="K27" s="121" t="n"/>
      <c r="M27" s="184" t="n"/>
    </row>
    <row r="28" ht="17.25" customHeight="1" s="15">
      <c r="A28" s="245" t="n">
        <v>46162</v>
      </c>
      <c r="B28" s="175" t="inlineStr">
        <is>
          <t>掘削作業</t>
        </is>
      </c>
      <c r="C28" s="244" t="n"/>
      <c r="D28" s="118" t="n">
        <v>3</v>
      </c>
      <c r="E28" s="182" t="inlineStr">
        <is>
          <t>補助作業</t>
        </is>
      </c>
      <c r="F28" s="243" t="n"/>
      <c r="G28" s="244" t="n"/>
      <c r="H28" s="126" t="inlineStr">
        <is>
          <t>中原</t>
        </is>
      </c>
      <c r="I28" s="184" t="inlineStr">
        <is>
          <t>③</t>
        </is>
      </c>
      <c r="J28" s="148" t="inlineStr">
        <is>
          <t>作業終了後の機体の清掃及び燃料補給</t>
        </is>
      </c>
      <c r="K28" s="121" t="n"/>
      <c r="M28" s="184" t="n"/>
    </row>
    <row r="29" ht="17.25" customHeight="1" s="15">
      <c r="A29" s="245" t="n">
        <v>46163</v>
      </c>
      <c r="B29" s="175" t="inlineStr">
        <is>
          <t>休み</t>
        </is>
      </c>
      <c r="C29" s="244" t="n"/>
      <c r="D29" s="118" t="n"/>
      <c r="E29" s="182" t="n"/>
      <c r="F29" s="243" t="n"/>
      <c r="G29" s="244" t="n"/>
      <c r="H29" s="126" t="n"/>
      <c r="I29" s="184" t="inlineStr">
        <is>
          <t>2-(4)</t>
        </is>
      </c>
      <c r="J29" s="92" t="inlineStr">
        <is>
          <t>安全衛生業務</t>
        </is>
      </c>
      <c r="K29" s="149" t="n"/>
      <c r="M29" s="184" t="n"/>
    </row>
    <row r="30" ht="17.25" customHeight="1" s="15">
      <c r="A30" s="245" t="n">
        <v>46164</v>
      </c>
      <c r="B30" s="175" t="inlineStr">
        <is>
          <t>休み</t>
        </is>
      </c>
      <c r="C30" s="244" t="n"/>
      <c r="D30" s="118" t="n"/>
      <c r="E30" s="182" t="n"/>
      <c r="F30" s="243" t="n"/>
      <c r="G30" s="244" t="n"/>
      <c r="H30" s="126" t="n"/>
      <c r="I30" s="184" t="inlineStr">
        <is>
          <t>①</t>
        </is>
      </c>
      <c r="J30" s="148" t="inlineStr">
        <is>
          <t>雇入れ時等の安全衛生教育</t>
        </is>
      </c>
      <c r="K30" s="121" t="n"/>
      <c r="M30" s="184" t="n"/>
    </row>
    <row r="31" ht="17.25" customHeight="1" s="15">
      <c r="A31" s="245" t="n">
        <v>46165</v>
      </c>
      <c r="B31" s="175" t="inlineStr">
        <is>
          <t>休み</t>
        </is>
      </c>
      <c r="C31" s="244" t="n"/>
      <c r="D31" s="118" t="n"/>
      <c r="E31" s="182" t="n"/>
      <c r="F31" s="243" t="n"/>
      <c r="G31" s="244" t="n"/>
      <c r="H31" s="126" t="n"/>
      <c r="I31" s="184" t="inlineStr">
        <is>
          <t>②</t>
        </is>
      </c>
      <c r="J31" s="148" t="inlineStr">
        <is>
          <t>作業開始前の安全装置等の点検作業</t>
        </is>
      </c>
      <c r="K31" s="149" t="n"/>
      <c r="M31" s="184" t="n"/>
    </row>
    <row r="32" ht="17.25" customHeight="1" s="15">
      <c r="A32" s="245" t="n">
        <v>46166</v>
      </c>
      <c r="B32" s="175" t="inlineStr">
        <is>
          <t>休み</t>
        </is>
      </c>
      <c r="C32" s="244" t="n"/>
      <c r="D32" s="118" t="n"/>
      <c r="E32" s="176" t="n"/>
      <c r="F32" s="243" t="n"/>
      <c r="G32" s="244" t="n"/>
      <c r="H32" s="119" t="n"/>
      <c r="I32" s="184" t="inlineStr">
        <is>
          <t>③</t>
        </is>
      </c>
      <c r="J32" s="148" t="inlineStr">
        <is>
          <t>建設機械施工職種に必要な整理整頓作業</t>
        </is>
      </c>
      <c r="K32" s="149" t="n"/>
      <c r="M32" s="184" t="n"/>
    </row>
    <row r="33" ht="17.25" customHeight="1" s="15">
      <c r="A33" s="245" t="n">
        <v>46167</v>
      </c>
      <c r="B33" s="175" t="inlineStr">
        <is>
          <t>休み</t>
        </is>
      </c>
      <c r="C33" s="244" t="n"/>
      <c r="D33" s="118" t="n"/>
      <c r="E33" s="176" t="n"/>
      <c r="F33" s="243" t="n"/>
      <c r="G33" s="244" t="n"/>
      <c r="H33" s="119" t="n"/>
      <c r="I33" s="184" t="inlineStr">
        <is>
          <t>④</t>
        </is>
      </c>
      <c r="J33" s="148" t="inlineStr">
        <is>
          <t>建設機械施工職種の作業用機械及び周囲の安全確認作業</t>
        </is>
      </c>
      <c r="K33" s="149" t="n"/>
      <c r="M33" s="184" t="n"/>
    </row>
    <row r="34" ht="17.25" customHeight="1" s="15">
      <c r="A34" s="245" t="n">
        <v>46168</v>
      </c>
      <c r="B34" s="175" t="inlineStr">
        <is>
          <t>休み</t>
        </is>
      </c>
      <c r="C34" s="244" t="n"/>
      <c r="D34" s="118" t="n"/>
      <c r="E34" s="182" t="n"/>
      <c r="F34" s="243" t="n"/>
      <c r="G34" s="244" t="n"/>
      <c r="H34" s="126" t="n"/>
      <c r="I34" s="184" t="inlineStr">
        <is>
          <t>⑤</t>
        </is>
      </c>
      <c r="J34" s="148" t="inlineStr">
        <is>
          <t>保護具の着用と服装の安全点検作業</t>
        </is>
      </c>
      <c r="K34" s="149" t="n"/>
      <c r="M34" s="184" t="n"/>
    </row>
    <row r="35" ht="17.25" customHeight="1" s="15">
      <c r="A35" s="245" t="n">
        <v>46169</v>
      </c>
      <c r="B35" s="175" t="inlineStr">
        <is>
          <t>休み</t>
        </is>
      </c>
      <c r="C35" s="244" t="n"/>
      <c r="D35" s="118" t="n"/>
      <c r="E35" s="182" t="n"/>
      <c r="F35" s="243" t="n"/>
      <c r="G35" s="244" t="n"/>
      <c r="H35" s="126" t="n"/>
      <c r="I35" s="184" t="inlineStr">
        <is>
          <t>⑥</t>
        </is>
      </c>
      <c r="J35" s="148" t="inlineStr">
        <is>
          <t>安全装置の使用等による作業</t>
        </is>
      </c>
      <c r="K35" s="149" t="n"/>
      <c r="M35" s="184" t="n"/>
    </row>
    <row r="36" ht="17.25" customHeight="1" s="15">
      <c r="A36" s="245" t="n">
        <v>46170</v>
      </c>
      <c r="B36" s="175" t="inlineStr">
        <is>
          <t>休み</t>
        </is>
      </c>
      <c r="C36" s="244" t="n"/>
      <c r="D36" s="118" t="n"/>
      <c r="E36" s="182" t="n"/>
      <c r="F36" s="243" t="n"/>
      <c r="G36" s="244" t="n"/>
      <c r="H36" s="126" t="n"/>
      <c r="I36" s="184" t="inlineStr">
        <is>
          <t>⑦</t>
        </is>
      </c>
      <c r="J36" s="148" t="inlineStr">
        <is>
          <t>労働安全衛生上の有害性を防止するための作業</t>
        </is>
      </c>
      <c r="K36" s="149" t="n"/>
      <c r="M36" s="184" t="n"/>
    </row>
    <row r="37" ht="17.25" customHeight="1" s="15">
      <c r="A37" s="245" t="n">
        <v>46171</v>
      </c>
      <c r="B37" s="175" t="inlineStr">
        <is>
          <t>休み</t>
        </is>
      </c>
      <c r="C37" s="244" t="n"/>
      <c r="D37" s="118" t="n"/>
      <c r="E37" s="182" t="n"/>
      <c r="F37" s="243" t="n"/>
      <c r="G37" s="244" t="n"/>
      <c r="H37" s="126" t="n"/>
      <c r="I37" s="184" t="inlineStr">
        <is>
          <t>⑧</t>
        </is>
      </c>
      <c r="J37" s="148" t="inlineStr">
        <is>
          <t>異常時の応急措置を習得するための作業</t>
        </is>
      </c>
      <c r="K37" s="149" t="n"/>
      <c r="M37" s="184" t="n"/>
    </row>
    <row r="38" ht="17.25" customHeight="1" s="15">
      <c r="A38" s="245" t="n">
        <v>46172</v>
      </c>
      <c r="B38" s="175" t="inlineStr">
        <is>
          <t>休み</t>
        </is>
      </c>
      <c r="C38" s="244" t="n"/>
      <c r="D38" s="118" t="n"/>
      <c r="E38" s="182" t="n"/>
      <c r="F38" s="243" t="n"/>
      <c r="G38" s="244" t="n"/>
      <c r="H38" s="126" t="n"/>
      <c r="I38" s="184" t="inlineStr">
        <is>
          <t>3①</t>
        </is>
      </c>
      <c r="J38" s="148" t="inlineStr">
        <is>
          <t>押土整地作業</t>
        </is>
      </c>
      <c r="K38" s="149" t="n"/>
      <c r="M38" s="16" t="n">
        <v>3</v>
      </c>
    </row>
    <row r="39" ht="17.25" customHeight="1" s="15">
      <c r="A39" s="245" t="n">
        <v>46173</v>
      </c>
      <c r="B39" s="175" t="inlineStr">
        <is>
          <t>休み</t>
        </is>
      </c>
      <c r="C39" s="244" t="n"/>
      <c r="D39" s="118" t="n"/>
      <c r="E39" s="182" t="n"/>
      <c r="F39" s="243" t="n"/>
      <c r="G39" s="244" t="n"/>
      <c r="H39" s="126" t="n"/>
      <c r="I39" s="184" t="inlineStr">
        <is>
          <t>②</t>
        </is>
      </c>
      <c r="J39" s="92" t="inlineStr">
        <is>
          <t>積込み作業</t>
        </is>
      </c>
      <c r="K39" s="121" t="n"/>
      <c r="M39" s="184" t="n"/>
    </row>
    <row r="40" ht="13.5" customHeight="1" s="15">
      <c r="A40" s="94" t="inlineStr">
        <is>
          <t>(注意)</t>
        </is>
      </c>
      <c r="B40" s="92" t="n"/>
      <c r="C40" s="92" t="n"/>
      <c r="D40" s="92" t="n"/>
      <c r="E40" s="92" t="n"/>
      <c r="F40" s="92" t="n"/>
      <c r="G40" s="92" t="n"/>
      <c r="H40" s="92" t="n"/>
      <c r="I40" s="184" t="inlineStr">
        <is>
          <t>③</t>
        </is>
      </c>
      <c r="J40" s="92" t="inlineStr">
        <is>
          <t>締固め作業</t>
        </is>
      </c>
      <c r="K40" s="92" t="n"/>
    </row>
    <row r="41" ht="13.5" customHeight="1" s="15">
      <c r="A41" s="92" t="inlineStr">
        <is>
          <t xml:space="preserve">　　　　1　技能実習の区分、技能実習の期間、技能実習生に行わせる業務等が異なる場合は、分けて作成すること。</t>
        </is>
      </c>
      <c r="B41" s="92" t="n"/>
      <c r="C41" s="92" t="n"/>
      <c r="D41" s="92" t="n"/>
      <c r="E41" s="92" t="n"/>
      <c r="F41" s="92" t="n"/>
      <c r="G41" s="92" t="n"/>
      <c r="H41" s="92" t="n"/>
      <c r="I41" s="184" t="inlineStr">
        <is>
          <t>④</t>
        </is>
      </c>
      <c r="J41" s="92" t="inlineStr">
        <is>
          <t>建設機械施工管理作業</t>
        </is>
      </c>
      <c r="K41" s="92" t="n"/>
    </row>
    <row r="42" ht="13.5" customHeight="1" s="15">
      <c r="A42" s="92" t="inlineStr">
        <is>
          <t xml:space="preserve">　　　　2　技能実習生に従事させた業務の欄の右欄は、技能実習計画の実習実施予定表(別記様式第1号第4面から第6面まで)</t>
        </is>
      </c>
      <c r="B42" s="92" t="n"/>
      <c r="C42" s="92" t="n"/>
      <c r="D42" s="92" t="n"/>
      <c r="E42" s="92" t="n"/>
      <c r="F42" s="92" t="n"/>
      <c r="G42" s="92" t="n"/>
      <c r="H42" s="92" t="n"/>
      <c r="I42" s="184" t="inlineStr">
        <is>
          <t>⑤</t>
        </is>
      </c>
      <c r="J42" s="92" t="inlineStr">
        <is>
          <t>土工作業(対象職種・作業に係る手作業の作業）</t>
        </is>
      </c>
      <c r="K42" s="92" t="n"/>
    </row>
    <row r="43" ht="13.5" customHeight="1" s="15">
      <c r="A43" s="92" t="inlineStr">
        <is>
          <t xml:space="preserve">　　　　　の技能実習の内容欄の番号を記載すること。</t>
        </is>
      </c>
      <c r="B43" s="92" t="n"/>
      <c r="C43" s="92" t="n"/>
      <c r="D43" s="92" t="n"/>
      <c r="E43" s="92" t="n"/>
      <c r="F43" s="92" t="n"/>
      <c r="G43" s="92" t="n"/>
      <c r="H43" s="92" t="n"/>
      <c r="I43" s="184" t="inlineStr">
        <is>
          <t>⑥</t>
        </is>
      </c>
      <c r="J43" s="148" t="inlineStr">
        <is>
          <t>建設機械の管理及び点検・整備作業</t>
        </is>
      </c>
      <c r="K43" s="148" t="n"/>
    </row>
    <row r="44" ht="18" customHeight="1" s="15">
      <c r="I44" s="184" t="inlineStr">
        <is>
          <t>⑦</t>
        </is>
      </c>
      <c r="J44" s="92" t="inlineStr">
        <is>
          <t>各種揚重運搬機械の運転作業</t>
        </is>
      </c>
      <c r="K44" s="92" t="n"/>
    </row>
    <row r="45" ht="18" customHeight="1" s="15">
      <c r="I45" s="184" t="inlineStr">
        <is>
          <t>⑧</t>
        </is>
      </c>
      <c r="J45" s="148" t="inlineStr">
        <is>
          <t>玉掛け作業(特別教育又は技能講習が必要）</t>
        </is>
      </c>
    </row>
    <row r="46" ht="18" customHeight="1" s="15">
      <c r="I46" s="184" t="n">
        <v>5</v>
      </c>
      <c r="J46" s="148" t="inlineStr">
        <is>
          <t>建設機械の移送車両への積載及び移送作業</t>
        </is>
      </c>
    </row>
    <row r="47" ht="18" customHeight="1" s="15">
      <c r="J47" s="92" t="inlineStr">
        <is>
          <t>休み</t>
        </is>
      </c>
    </row>
  </sheetData>
  <mergeCells count="105">
    <mergeCell ref="E13:G13"/>
    <mergeCell ref="E31:G31"/>
    <mergeCell ref="B22:C22"/>
    <mergeCell ref="B31:C31"/>
    <mergeCell ref="E15:G15"/>
    <mergeCell ref="B12:C12"/>
    <mergeCell ref="B21:C21"/>
    <mergeCell ref="C4:G4"/>
    <mergeCell ref="M35:N35"/>
    <mergeCell ref="M10:N10"/>
    <mergeCell ref="E26:G26"/>
    <mergeCell ref="B14:C14"/>
    <mergeCell ref="M16:N16"/>
    <mergeCell ref="B13:C13"/>
    <mergeCell ref="E16:G16"/>
    <mergeCell ref="B38:C38"/>
    <mergeCell ref="M25:N25"/>
    <mergeCell ref="M36:N36"/>
    <mergeCell ref="E18:G18"/>
    <mergeCell ref="M33:N33"/>
    <mergeCell ref="M18:N18"/>
    <mergeCell ref="M8:N8"/>
    <mergeCell ref="M17:N17"/>
    <mergeCell ref="B24:C24"/>
    <mergeCell ref="B33:C33"/>
    <mergeCell ref="E35:G35"/>
    <mergeCell ref="B32:C32"/>
    <mergeCell ref="M19:N19"/>
    <mergeCell ref="B26:C26"/>
    <mergeCell ref="B35:C35"/>
    <mergeCell ref="E20:G20"/>
    <mergeCell ref="R1:V1"/>
    <mergeCell ref="E28:G28"/>
    <mergeCell ref="B16:C16"/>
    <mergeCell ref="B25:C25"/>
    <mergeCell ref="B8:D8"/>
    <mergeCell ref="R10:S10"/>
    <mergeCell ref="E30:G30"/>
    <mergeCell ref="B27:C27"/>
    <mergeCell ref="B18:C18"/>
    <mergeCell ref="E6:G6"/>
    <mergeCell ref="B11:C11"/>
    <mergeCell ref="M13:N13"/>
    <mergeCell ref="E32:G32"/>
    <mergeCell ref="M21:N21"/>
    <mergeCell ref="B29:C29"/>
    <mergeCell ref="D5:F5"/>
    <mergeCell ref="B37:C37"/>
    <mergeCell ref="M27:N27"/>
    <mergeCell ref="E24:G24"/>
    <mergeCell ref="M24:N24"/>
    <mergeCell ref="E33:G33"/>
    <mergeCell ref="B15:C15"/>
    <mergeCell ref="E8:G8"/>
    <mergeCell ref="E17:G17"/>
    <mergeCell ref="U10:V10"/>
    <mergeCell ref="E10:G10"/>
    <mergeCell ref="E19:G19"/>
    <mergeCell ref="M34:N34"/>
    <mergeCell ref="E34:G34"/>
    <mergeCell ref="E9:G9"/>
    <mergeCell ref="M9:N9"/>
    <mergeCell ref="M39:N39"/>
    <mergeCell ref="E36:G36"/>
    <mergeCell ref="E11:G11"/>
    <mergeCell ref="M11:N11"/>
    <mergeCell ref="T13:V13"/>
    <mergeCell ref="B17:C17"/>
    <mergeCell ref="M31:N31"/>
    <mergeCell ref="M15:N15"/>
    <mergeCell ref="E22:G22"/>
    <mergeCell ref="M12:N12"/>
    <mergeCell ref="U21:V21"/>
    <mergeCell ref="M37:N37"/>
    <mergeCell ref="E37:G37"/>
    <mergeCell ref="B34:C34"/>
    <mergeCell ref="B19:C19"/>
    <mergeCell ref="B28:C28"/>
    <mergeCell ref="E12:G12"/>
    <mergeCell ref="E21:G21"/>
    <mergeCell ref="B9:C9"/>
    <mergeCell ref="M26:N26"/>
    <mergeCell ref="B30:C30"/>
    <mergeCell ref="E14:G14"/>
    <mergeCell ref="M29:N29"/>
    <mergeCell ref="E23:G23"/>
    <mergeCell ref="M23:N23"/>
    <mergeCell ref="B20:C20"/>
    <mergeCell ref="B39:C39"/>
    <mergeCell ref="M20:N20"/>
    <mergeCell ref="E27:G27"/>
    <mergeCell ref="B23:C23"/>
    <mergeCell ref="E25:G25"/>
    <mergeCell ref="R21:S21"/>
    <mergeCell ref="M22:N22"/>
    <mergeCell ref="M30:N30"/>
    <mergeCell ref="R12:V12"/>
    <mergeCell ref="M28:N28"/>
    <mergeCell ref="B10:C10"/>
    <mergeCell ref="M32:N32"/>
    <mergeCell ref="E39:G39"/>
    <mergeCell ref="M14:N14"/>
    <mergeCell ref="B36:C36"/>
    <mergeCell ref="E29:G29"/>
    <mergeCell ref="E38:G3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topLeftCell="A23" zoomScale="110" zoomScaleNormal="110" workbookViewId="0">
      <selection activeCell="B32" sqref="B32"/>
    </sheetView>
  </sheetViews>
  <sheetFormatPr baseColWidth="8" defaultColWidth="8.5" defaultRowHeight="18"/>
  <cols>
    <col width="10.3984375" customWidth="1" style="15" min="1" max="1"/>
    <col width="6.8984375" customWidth="1" style="15" min="3" max="3"/>
    <col width="6" customWidth="1" style="15" min="4" max="4"/>
    <col width="10.59765625" customWidth="1" style="15" min="5" max="5"/>
    <col width="9" customWidth="1" style="15" min="6" max="6"/>
    <col width="15.3984375" customWidth="1" style="15" min="7" max="7"/>
    <col width="12" customWidth="1" style="15" min="8" max="8"/>
    <col width="6" customWidth="1" style="15" min="9" max="9"/>
    <col width="6.8984375" customWidth="1" style="15" min="11" max="11"/>
    <col width="6" customWidth="1" style="15" min="12" max="12"/>
    <col width="5" customWidth="1" style="15" min="18" max="18"/>
    <col width="9" customWidth="1" style="15" min="19" max="20"/>
    <col width="8" customWidth="1" style="15" min="21" max="21"/>
    <col width="14" customWidth="1" style="15" min="22" max="22"/>
  </cols>
  <sheetData>
    <row r="1" ht="10.5" customHeight="1" s="15">
      <c r="A1" s="92" t="inlineStr">
        <is>
          <t>参考様式第4－2号別紙(規則第22号第1項第3号関係)</t>
        </is>
      </c>
      <c r="G1" s="93" t="n"/>
      <c r="H1" s="94" t="inlineStr">
        <is>
          <t>(日本工業規格A列4）</t>
        </is>
      </c>
      <c r="R1" s="168" t="inlineStr">
        <is>
          <t>【月次 時間数 進捗モニター】</t>
        </is>
      </c>
    </row>
    <row r="2" ht="12.75" customHeight="1" s="15">
      <c r="A2" s="95" t="inlineStr">
        <is>
          <t>A・B・C・D・E・F</t>
        </is>
      </c>
    </row>
    <row r="3" ht="18" customHeight="1" s="15">
      <c r="R3" s="96" t="inlineStr">
        <is>
          <t>番号</t>
        </is>
      </c>
      <c r="S3" s="96" t="inlineStr">
        <is>
          <t>必要時間</t>
        </is>
      </c>
      <c r="T3" s="96" t="inlineStr">
        <is>
          <t>実績時間</t>
        </is>
      </c>
      <c r="U3" s="96" t="inlineStr">
        <is>
          <t>達成率</t>
        </is>
      </c>
      <c r="V3" s="96" t="inlineStr">
        <is>
          <t>状態</t>
        </is>
      </c>
    </row>
    <row r="4" ht="18.75" customHeight="1" s="15">
      <c r="C4" s="169" t="inlineStr">
        <is>
          <t xml:space="preserve">　　　技　　能　　実　　習　　日　　誌</t>
        </is>
      </c>
      <c r="R4" s="97" t="n">
        <v>1</v>
      </c>
      <c r="S4" s="201" t="n">
        <v>90</v>
      </c>
      <c r="T4" s="204">
        <f>COUNTIF($D$9:$D$39,1)*8</f>
        <v/>
      </c>
      <c r="U4" s="98">
        <f>T4/S4</f>
        <v/>
      </c>
      <c r="V4" s="99">
        <f>IF(T4&gt;=S4,"✓ 達成","△ あと "&amp;TEXT(S4-T4,"0")&amp;"時間")</f>
        <v/>
      </c>
    </row>
    <row r="5" ht="18.75" customHeight="1" s="15">
      <c r="D5" s="170" t="inlineStr">
        <is>
          <t>（　　　2026　　年　　1　　月分）</t>
        </is>
      </c>
      <c r="R5" s="100" t="n">
        <v>2</v>
      </c>
      <c r="S5" s="207" t="n">
        <v>10</v>
      </c>
      <c r="T5" s="210">
        <f>COUNTIF($D$9:$D$39,2)*8</f>
        <v/>
      </c>
      <c r="U5" s="101">
        <f>T5/S5</f>
        <v/>
      </c>
      <c r="V5" s="102">
        <f>IF(T5&gt;=S5,"✓ 達成","△ あと "&amp;TEXT(S5-T5,"0")&amp;"時間")</f>
        <v/>
      </c>
    </row>
    <row r="6" ht="18.75" customHeight="1" s="15">
      <c r="E6" s="171" t="inlineStr">
        <is>
          <t xml:space="preserve">　　　　　　氏名　ヨザ</t>
        </is>
      </c>
      <c r="F6" s="242" t="n"/>
      <c r="G6" s="242" t="n"/>
      <c r="R6" s="103" t="n">
        <v>3</v>
      </c>
      <c r="S6" s="213" t="n">
        <v>44</v>
      </c>
      <c r="T6" s="216">
        <f>COUNTIF($D$9:$D$39,3)*8</f>
        <v/>
      </c>
      <c r="U6" s="104">
        <f>T6/S6</f>
        <v/>
      </c>
      <c r="V6" s="105">
        <f>IF(T6&gt;=S6,"✓ 達成","△ あと "&amp;TEXT(S6-T6,"0")&amp;"時間")</f>
        <v/>
      </c>
    </row>
    <row r="7" ht="18.75" customHeight="1" s="15">
      <c r="A7" s="106" t="inlineStr">
        <is>
          <t>(対象:別紙｢技能実習生一覧表｣のとおり)</t>
        </is>
      </c>
      <c r="R7" s="107" t="n">
        <v>4</v>
      </c>
      <c r="S7" s="219" t="n">
        <v>8</v>
      </c>
      <c r="T7" s="222">
        <f>COUNTIF($D$9:$D$39,4)*8</f>
        <v/>
      </c>
      <c r="U7" s="108">
        <f>T7/S7</f>
        <v/>
      </c>
      <c r="V7" s="109">
        <f>IF(T7&gt;=S7,"✓ 達成","△ あと "&amp;TEXT(S7-T7,"0")&amp;"時間")</f>
        <v/>
      </c>
    </row>
    <row r="8" ht="18.75" customHeight="1" s="15">
      <c r="A8" s="172" t="inlineStr">
        <is>
          <t>日付</t>
        </is>
      </c>
      <c r="B8" s="172" t="inlineStr">
        <is>
          <t>技能実習生に従事させた業務</t>
        </is>
      </c>
      <c r="C8" s="243" t="n"/>
      <c r="D8" s="244" t="n"/>
      <c r="E8" s="173" t="inlineStr">
        <is>
          <t>技能実習生に対する指導の内容</t>
        </is>
      </c>
      <c r="F8" s="243" t="n"/>
      <c r="G8" s="244" t="n"/>
      <c r="H8" s="173" t="inlineStr">
        <is>
          <t>指導者氏名</t>
        </is>
      </c>
      <c r="J8" s="112" t="inlineStr">
        <is>
          <t>従事させた業務</t>
        </is>
      </c>
      <c r="K8" s="113" t="n"/>
      <c r="M8" s="174" t="n"/>
      <c r="R8" s="114" t="n">
        <v>5</v>
      </c>
      <c r="S8" s="225" t="n">
        <v>15</v>
      </c>
      <c r="T8" s="228">
        <f>COUNTIF($D$9:$D$39,5)*8</f>
        <v/>
      </c>
      <c r="U8" s="115">
        <f>T8/S8</f>
        <v/>
      </c>
      <c r="V8" s="116">
        <f>IF(T8&gt;=S8,"✓ 達成","△ あと "&amp;TEXT(S8-T8,"0")&amp;"時間")</f>
        <v/>
      </c>
    </row>
    <row r="9" ht="18.75" customHeight="1" s="15">
      <c r="A9" s="245" t="n">
        <v>46023</v>
      </c>
      <c r="B9" s="175" t="inlineStr">
        <is>
          <t>休み</t>
        </is>
      </c>
      <c r="C9" s="244" t="n"/>
      <c r="D9" s="118" t="n"/>
      <c r="E9" s="176" t="n"/>
      <c r="F9" s="243" t="n"/>
      <c r="G9" s="244" t="n"/>
      <c r="H9" s="119" t="n"/>
      <c r="I9" s="184" t="inlineStr">
        <is>
          <t>1-(1)</t>
        </is>
      </c>
      <c r="J9" s="92" t="inlineStr">
        <is>
          <t>走行操作作業</t>
        </is>
      </c>
      <c r="K9" s="121" t="n"/>
      <c r="L9" s="184" t="n"/>
      <c r="M9" s="174" t="n"/>
      <c r="R9" s="122" t="n">
        <v>6</v>
      </c>
      <c r="S9" s="231" t="n">
        <v>8</v>
      </c>
      <c r="T9" s="234">
        <f>COUNTIF($D$9:$D$39,6)*8</f>
        <v/>
      </c>
      <c r="U9" s="123">
        <f>T9/S9</f>
        <v/>
      </c>
      <c r="V9" s="124">
        <f>IF(T9&gt;=S9,"✓ 達成","△ あと "&amp;TEXT(S9-T9,"0")&amp;"時間")</f>
        <v/>
      </c>
    </row>
    <row r="10" ht="21.75" customHeight="1" s="15">
      <c r="A10" s="245" t="n">
        <v>46024</v>
      </c>
      <c r="B10" s="175" t="inlineStr">
        <is>
          <t>休み</t>
        </is>
      </c>
      <c r="C10" s="244" t="n"/>
      <c r="D10" s="184" t="n"/>
      <c r="E10" s="176" t="n"/>
      <c r="F10" s="243" t="n"/>
      <c r="G10" s="244" t="n"/>
      <c r="H10" s="119" t="n"/>
      <c r="I10" s="184" t="inlineStr">
        <is>
          <t>①</t>
        </is>
      </c>
      <c r="J10" s="92" t="inlineStr">
        <is>
          <t>発進操作</t>
        </is>
      </c>
      <c r="K10" s="121" t="n"/>
      <c r="L10" s="184" t="n"/>
      <c r="M10" s="174" t="n"/>
      <c r="R10" s="177" t="inlineStr">
        <is>
          <t>合計実績</t>
        </is>
      </c>
      <c r="S10" s="194" t="n"/>
      <c r="T10" s="246">
        <f>SUM(T4:T9)</f>
        <v/>
      </c>
      <c r="U10" s="178">
        <f>IF(T10&gt;=175,"✓ 全番号クリア可能","△ まだ不足あり")</f>
        <v/>
      </c>
      <c r="V10" s="194" t="n"/>
    </row>
    <row r="11" ht="17.25" customHeight="1" s="15">
      <c r="A11" s="245" t="n">
        <v>46025</v>
      </c>
      <c r="B11" s="175" t="inlineStr">
        <is>
          <t>休み</t>
        </is>
      </c>
      <c r="C11" s="244" t="n"/>
      <c r="D11" s="118" t="n"/>
      <c r="E11" s="176" t="n"/>
      <c r="F11" s="243" t="n"/>
      <c r="G11" s="244" t="n"/>
      <c r="H11" s="119" t="n"/>
      <c r="I11" s="184" t="inlineStr">
        <is>
          <t>②</t>
        </is>
      </c>
      <c r="J11" s="92" t="inlineStr">
        <is>
          <t>平坦地走行操作</t>
        </is>
      </c>
      <c r="K11" s="121" t="n"/>
      <c r="L11" s="184" t="n"/>
      <c r="M11" s="174" t="n"/>
    </row>
    <row r="12" ht="21.75" customHeight="1" s="15">
      <c r="A12" s="245" t="n">
        <v>46026</v>
      </c>
      <c r="B12" s="175" t="inlineStr">
        <is>
          <t>休み</t>
        </is>
      </c>
      <c r="C12" s="244" t="n"/>
      <c r="D12" s="118" t="n"/>
      <c r="E12" s="179" t="n"/>
      <c r="F12" s="243" t="n"/>
      <c r="G12" s="244" t="n"/>
      <c r="H12" s="119" t="n"/>
      <c r="I12" s="184" t="inlineStr">
        <is>
          <t>③</t>
        </is>
      </c>
      <c r="J12" s="92" t="inlineStr">
        <is>
          <t>登坂操作</t>
        </is>
      </c>
      <c r="K12" s="121" t="n"/>
      <c r="L12" s="184" t="n"/>
      <c r="M12" s="180" t="n"/>
      <c r="R12" s="181" t="inlineStr">
        <is>
          <t>【翌月 振り分け提案】　出勤日数を入力 ↓</t>
        </is>
      </c>
    </row>
    <row r="13" ht="17.25" customHeight="1" s="15">
      <c r="A13" s="245" t="n">
        <v>46027</v>
      </c>
      <c r="B13" s="175" t="inlineStr">
        <is>
          <t>掘削作業</t>
        </is>
      </c>
      <c r="C13" s="244" t="n"/>
      <c r="D13" s="118" t="n">
        <v>1</v>
      </c>
      <c r="E13" s="182" t="inlineStr">
        <is>
          <t>マンホール布設</t>
        </is>
      </c>
      <c r="F13" s="243" t="n"/>
      <c r="G13" s="244" t="n"/>
      <c r="H13" s="126" t="inlineStr">
        <is>
          <t>中原</t>
        </is>
      </c>
      <c r="I13" s="184" t="inlineStr">
        <is>
          <t>④</t>
        </is>
      </c>
      <c r="J13" s="92" t="inlineStr">
        <is>
          <t>降坂操作</t>
        </is>
      </c>
      <c r="K13" s="121" t="n"/>
      <c r="L13" s="184" t="n"/>
      <c r="M13" s="174" t="n"/>
      <c r="R13" s="127" t="inlineStr">
        <is>
          <t>出勤日数 →</t>
        </is>
      </c>
      <c r="S13" s="196" t="n">
        <v>22</v>
      </c>
      <c r="T13" s="183">
        <f>IF(S13&gt;=24,"✓ 必要日数(24日)をクリアできます","⚠ 最低24日必要です")</f>
        <v/>
      </c>
      <c r="U13" s="194" t="n"/>
      <c r="V13" s="194" t="n"/>
    </row>
    <row r="14" ht="18" customHeight="1" s="15">
      <c r="A14" s="245" t="n">
        <v>46028</v>
      </c>
      <c r="B14" s="175" t="inlineStr">
        <is>
          <t>掘削作業</t>
        </is>
      </c>
      <c r="C14" s="244" t="n"/>
      <c r="D14" s="118" t="n">
        <v>1</v>
      </c>
      <c r="E14" s="182" t="inlineStr">
        <is>
          <t>マンホール布設</t>
        </is>
      </c>
      <c r="F14" s="243" t="n"/>
      <c r="G14" s="244" t="n"/>
      <c r="H14" s="126" t="inlineStr">
        <is>
          <t>中原</t>
        </is>
      </c>
      <c r="I14" s="184" t="inlineStr">
        <is>
          <t>⑤</t>
        </is>
      </c>
      <c r="J14" s="92" t="inlineStr">
        <is>
          <t>停止操作</t>
        </is>
      </c>
      <c r="K14" s="121" t="n"/>
      <c r="L14" s="184" t="n"/>
      <c r="M14" s="184" t="n"/>
      <c r="R14" s="128" t="inlineStr">
        <is>
          <t>番号</t>
        </is>
      </c>
      <c r="S14" s="128" t="inlineStr">
        <is>
          <t>必要日数</t>
        </is>
      </c>
      <c r="T14" s="128" t="inlineStr">
        <is>
          <t>推奨割当日</t>
        </is>
      </c>
      <c r="U14" s="128" t="inlineStr">
        <is>
          <t>今月残り日</t>
        </is>
      </c>
      <c r="V14" s="128" t="inlineStr">
        <is>
          <t>代表業務</t>
        </is>
      </c>
    </row>
    <row r="15" ht="18" customHeight="1" s="15">
      <c r="A15" s="245" t="n">
        <v>46029</v>
      </c>
      <c r="B15" s="175" t="inlineStr">
        <is>
          <t>掘削作業</t>
        </is>
      </c>
      <c r="C15" s="244" t="n"/>
      <c r="D15" s="184" t="n">
        <v>1</v>
      </c>
      <c r="E15" s="182" t="inlineStr">
        <is>
          <t>汚水桝布設</t>
        </is>
      </c>
      <c r="F15" s="243" t="n"/>
      <c r="G15" s="244" t="n"/>
      <c r="H15" s="126" t="inlineStr">
        <is>
          <t>中原</t>
        </is>
      </c>
      <c r="I15" s="184" t="inlineStr">
        <is>
          <t>⑥</t>
        </is>
      </c>
      <c r="J15" s="92" t="inlineStr">
        <is>
          <t>下車操作</t>
        </is>
      </c>
      <c r="K15" s="121" t="n"/>
      <c r="M15" s="184" t="n"/>
      <c r="R15" s="97" t="n">
        <v>1</v>
      </c>
      <c r="S15" s="247" t="n">
        <v>12</v>
      </c>
      <c r="T15" s="248">
        <f>ROUND($S$13*12/24,0)</f>
        <v/>
      </c>
      <c r="U15" s="202">
        <f>MAX(0,12-COUNTIF($D$9:$D$39,1))</f>
        <v/>
      </c>
      <c r="V15" s="131" t="inlineStr">
        <is>
          <t>掘削・積込・走行</t>
        </is>
      </c>
    </row>
    <row r="16" ht="18" customHeight="1" s="15">
      <c r="A16" s="245" t="n">
        <v>46030</v>
      </c>
      <c r="B16" s="175" t="inlineStr">
        <is>
          <t>掘削作業</t>
        </is>
      </c>
      <c r="C16" s="244" t="n"/>
      <c r="D16" s="118" t="n">
        <v>1</v>
      </c>
      <c r="E16" s="182" t="inlineStr">
        <is>
          <t>汚水桝布設</t>
        </is>
      </c>
      <c r="F16" s="243" t="n"/>
      <c r="G16" s="244" t="n"/>
      <c r="H16" s="126" t="inlineStr">
        <is>
          <t>中原</t>
        </is>
      </c>
      <c r="I16" s="184" t="inlineStr">
        <is>
          <t>1-(2)</t>
        </is>
      </c>
      <c r="J16" s="92" t="inlineStr">
        <is>
          <t>掘削作業</t>
        </is>
      </c>
      <c r="K16" s="121" t="n"/>
      <c r="M16" s="184" t="n"/>
      <c r="R16" s="100" t="n">
        <v>2</v>
      </c>
      <c r="S16" s="249" t="n">
        <v>2</v>
      </c>
      <c r="T16" s="250">
        <f>ROUND($S$13*2/24,0)</f>
        <v/>
      </c>
      <c r="U16" s="208">
        <f>MAX(0,2-COUNTIF($D$9:$D$39,2))</f>
        <v/>
      </c>
      <c r="V16" s="134" t="inlineStr">
        <is>
          <t>点検・整理</t>
        </is>
      </c>
    </row>
    <row r="17" ht="18" customHeight="1" s="15">
      <c r="A17" s="245" t="n">
        <v>46031</v>
      </c>
      <c r="B17" s="175" t="inlineStr">
        <is>
          <t>土砂積込み作業</t>
        </is>
      </c>
      <c r="C17" s="244" t="n"/>
      <c r="D17" s="118" t="n">
        <v>1</v>
      </c>
      <c r="E17" s="185" t="inlineStr">
        <is>
          <t>過積載防止</t>
        </is>
      </c>
      <c r="F17" s="243" t="n"/>
      <c r="G17" s="244" t="n"/>
      <c r="H17" s="126" t="inlineStr">
        <is>
          <t>中原</t>
        </is>
      </c>
      <c r="I17" s="184" t="inlineStr">
        <is>
          <t>①</t>
        </is>
      </c>
      <c r="J17" s="92" t="inlineStr">
        <is>
          <t>溝掘削作業</t>
        </is>
      </c>
      <c r="K17" s="121" t="n"/>
      <c r="M17" s="184" t="n"/>
      <c r="R17" s="103" t="n">
        <v>3</v>
      </c>
      <c r="S17" s="251" t="n">
        <v>6</v>
      </c>
      <c r="T17" s="252">
        <f>ROUND($S$13*6/24,0)</f>
        <v/>
      </c>
      <c r="U17" s="214">
        <f>MAX(0,6-COUNTIF($D$9:$D$39,3))</f>
        <v/>
      </c>
      <c r="V17" s="137" t="inlineStr">
        <is>
          <t>掘削・締固・土工</t>
        </is>
      </c>
    </row>
    <row r="18" ht="18" customHeight="1" s="15">
      <c r="A18" s="245" t="n">
        <v>46032</v>
      </c>
      <c r="B18" s="175" t="inlineStr">
        <is>
          <t>休み</t>
        </is>
      </c>
      <c r="C18" s="244" t="n"/>
      <c r="D18" s="118" t="n"/>
      <c r="E18" s="176" t="n"/>
      <c r="F18" s="243" t="n"/>
      <c r="G18" s="244" t="n"/>
      <c r="H18" s="119" t="n"/>
      <c r="I18" s="184" t="inlineStr">
        <is>
          <t>②</t>
        </is>
      </c>
      <c r="J18" s="92" t="inlineStr">
        <is>
          <t>建築物の基礎掘削作業</t>
        </is>
      </c>
      <c r="K18" s="121" t="n"/>
      <c r="M18" s="184" t="n"/>
      <c r="R18" s="107" t="n">
        <v>4</v>
      </c>
      <c r="S18" s="253" t="n">
        <v>1</v>
      </c>
      <c r="T18" s="254">
        <f>ROUND($S$13*1/24,0)</f>
        <v/>
      </c>
      <c r="U18" s="220">
        <f>MAX(0,1-COUNTIF($D$9:$D$39,4))</f>
        <v/>
      </c>
      <c r="V18" s="140" t="inlineStr">
        <is>
          <t>安全衛生・機械管理</t>
        </is>
      </c>
    </row>
    <row r="19" ht="18" customHeight="1" s="15">
      <c r="A19" s="245" t="n">
        <v>46033</v>
      </c>
      <c r="B19" s="175" t="inlineStr">
        <is>
          <t>休み</t>
        </is>
      </c>
      <c r="C19" s="244" t="n"/>
      <c r="D19" s="118" t="n"/>
      <c r="E19" s="176" t="n"/>
      <c r="F19" s="243" t="n"/>
      <c r="G19" s="244" t="n"/>
      <c r="H19" s="119" t="n"/>
      <c r="I19" s="184" t="inlineStr">
        <is>
          <t>③</t>
        </is>
      </c>
      <c r="J19" s="92" t="inlineStr">
        <is>
          <t>地表面の浅い掘削作業</t>
        </is>
      </c>
      <c r="K19" s="121" t="n"/>
      <c r="M19" s="184" t="n"/>
      <c r="R19" s="114" t="n">
        <v>5</v>
      </c>
      <c r="S19" s="255" t="n">
        <v>2</v>
      </c>
      <c r="T19" s="256">
        <f>ROUND($S$13*2/24,0)</f>
        <v/>
      </c>
      <c r="U19" s="226">
        <f>MAX(0,2-COUNTIF($D$9:$D$39,5))</f>
        <v/>
      </c>
      <c r="V19" s="143" t="inlineStr">
        <is>
          <t>機械移送</t>
        </is>
      </c>
    </row>
    <row r="20" ht="18" customHeight="1" s="15">
      <c r="A20" s="245" t="n">
        <v>46034</v>
      </c>
      <c r="B20" s="175" t="inlineStr">
        <is>
          <t>土砂積込み作業</t>
        </is>
      </c>
      <c r="C20" s="244" t="n"/>
      <c r="D20" s="118" t="n">
        <v>1</v>
      </c>
      <c r="E20" s="182" t="inlineStr">
        <is>
          <t>周囲の確認</t>
        </is>
      </c>
      <c r="F20" s="243" t="n"/>
      <c r="G20" s="244" t="n"/>
      <c r="H20" s="126" t="inlineStr">
        <is>
          <t>中原</t>
        </is>
      </c>
      <c r="I20" s="184" t="inlineStr">
        <is>
          <t>④</t>
        </is>
      </c>
      <c r="J20" s="92" t="inlineStr">
        <is>
          <t>法面の切取り仕上げ作業</t>
        </is>
      </c>
      <c r="K20" s="121" t="n"/>
      <c r="M20" s="184" t="n"/>
      <c r="R20" s="122" t="n">
        <v>6</v>
      </c>
      <c r="S20" s="257" t="n">
        <v>1</v>
      </c>
      <c r="T20" s="258">
        <f>ROUND($S$13*1/24,0)</f>
        <v/>
      </c>
      <c r="U20" s="232">
        <f>MAX(0,1-COUNTIF($D$9:$D$39,6))</f>
        <v/>
      </c>
      <c r="V20" s="146" t="inlineStr">
        <is>
          <t>安全訓練</t>
        </is>
      </c>
    </row>
    <row r="21" ht="21.75" customHeight="1" s="15">
      <c r="A21" s="245" t="n">
        <v>46035</v>
      </c>
      <c r="B21" s="175" t="inlineStr">
        <is>
          <t>締固め作業</t>
        </is>
      </c>
      <c r="C21" s="244" t="n"/>
      <c r="D21" s="118" t="n">
        <v>3</v>
      </c>
      <c r="E21" s="182" t="inlineStr">
        <is>
          <t>埋戻し</t>
        </is>
      </c>
      <c r="F21" s="243" t="n"/>
      <c r="G21" s="244" t="n"/>
      <c r="H21" s="126" t="inlineStr">
        <is>
          <t>中原</t>
        </is>
      </c>
      <c r="I21" s="184" t="inlineStr">
        <is>
          <t>⑤</t>
        </is>
      </c>
      <c r="J21" s="92" t="inlineStr">
        <is>
          <t>土砂積込み作業</t>
        </is>
      </c>
      <c r="K21" s="121" t="n"/>
      <c r="M21" s="184" t="n"/>
      <c r="R21" s="186" t="inlineStr">
        <is>
          <t>推奨日数合計</t>
        </is>
      </c>
      <c r="S21" s="194" t="n"/>
      <c r="T21" s="259">
        <f>SUM(T15:T20)</f>
        <v/>
      </c>
      <c r="U21" s="186">
        <f>IF($S$13&gt;=24,"✓ 全番号達成可能","⚠ 出勤日数が不足")</f>
        <v/>
      </c>
      <c r="V21" s="194" t="n"/>
    </row>
    <row r="22" ht="17.25" customHeight="1" s="15">
      <c r="A22" s="245" t="n">
        <v>46036</v>
      </c>
      <c r="B22" s="175" t="inlineStr">
        <is>
          <t>作業開始前の安全装置等の点検作業</t>
        </is>
      </c>
      <c r="C22" s="244" t="n"/>
      <c r="D22" s="184" t="n">
        <v>2</v>
      </c>
      <c r="E22" s="182" t="inlineStr">
        <is>
          <t>目視点検</t>
        </is>
      </c>
      <c r="F22" s="243" t="n"/>
      <c r="G22" s="244" t="n"/>
      <c r="H22" s="126" t="inlineStr">
        <is>
          <t>中原</t>
        </is>
      </c>
      <c r="I22" s="184" t="inlineStr">
        <is>
          <t>⑥</t>
        </is>
      </c>
      <c r="J22" s="92" t="inlineStr">
        <is>
          <t>固結した土砂の破砕及び積込み作業</t>
        </is>
      </c>
      <c r="K22" s="121" t="n"/>
      <c r="M22" s="184" t="n"/>
    </row>
    <row r="23" ht="17.25" customHeight="1" s="15">
      <c r="A23" s="245" t="n">
        <v>46037</v>
      </c>
      <c r="B23" s="175" t="inlineStr">
        <is>
          <t>安全衛生業務</t>
        </is>
      </c>
      <c r="C23" s="244" t="n"/>
      <c r="D23" s="118" t="n">
        <v>4</v>
      </c>
      <c r="E23" s="182" t="inlineStr">
        <is>
          <t>荷物搬入</t>
        </is>
      </c>
      <c r="F23" s="243" t="n"/>
      <c r="G23" s="244" t="n"/>
      <c r="H23" s="126" t="inlineStr">
        <is>
          <t>中原</t>
        </is>
      </c>
      <c r="I23" s="184" t="inlineStr">
        <is>
          <t>⑦</t>
        </is>
      </c>
      <c r="J23" s="92" t="inlineStr">
        <is>
          <t>岩石の移動、除去作業</t>
        </is>
      </c>
      <c r="K23" s="121" t="n"/>
      <c r="M23" s="184" t="n"/>
    </row>
    <row r="24" ht="17.25" customHeight="1" s="15">
      <c r="A24" s="245" t="n">
        <v>46038</v>
      </c>
      <c r="B24" s="175" t="inlineStr">
        <is>
          <t>土工作業(対象職種・作業に係る手作業の作業）</t>
        </is>
      </c>
      <c r="C24" s="244" t="n"/>
      <c r="D24" s="118" t="n">
        <v>3</v>
      </c>
      <c r="E24" s="182" t="inlineStr">
        <is>
          <t>手元作業</t>
        </is>
      </c>
      <c r="F24" s="243" t="n"/>
      <c r="G24" s="244" t="n"/>
      <c r="H24" s="126" t="inlineStr">
        <is>
          <t>中原</t>
        </is>
      </c>
      <c r="I24" s="184" t="inlineStr">
        <is>
          <t>⑧</t>
        </is>
      </c>
      <c r="J24" s="92" t="inlineStr">
        <is>
          <t>粉砕した砕石の積込み作業</t>
        </is>
      </c>
      <c r="K24" s="121" t="n"/>
      <c r="M24" s="184" t="n"/>
    </row>
    <row r="25" ht="17.25" customHeight="1" s="15">
      <c r="A25" s="245" t="n">
        <v>46039</v>
      </c>
      <c r="B25" s="175" t="inlineStr">
        <is>
          <t>建設機械の移送車両への積載及び移送作業</t>
        </is>
      </c>
      <c r="C25" s="244" t="n"/>
      <c r="D25" s="118" t="n">
        <v>5</v>
      </c>
      <c r="E25" s="182" t="inlineStr">
        <is>
          <t>声出し誘導</t>
        </is>
      </c>
      <c r="F25" s="243" t="n"/>
      <c r="G25" s="244" t="n"/>
      <c r="H25" s="126" t="inlineStr">
        <is>
          <t>中原</t>
        </is>
      </c>
      <c r="I25" s="184" t="inlineStr">
        <is>
          <t>1-(3)</t>
        </is>
      </c>
      <c r="J25" s="92" t="inlineStr">
        <is>
          <t>建設機械点検作業</t>
        </is>
      </c>
      <c r="K25" s="121" t="n"/>
      <c r="M25" s="184" t="n"/>
    </row>
    <row r="26" ht="17.25" customHeight="1" s="15">
      <c r="A26" s="245" t="n">
        <v>46040</v>
      </c>
      <c r="B26" s="175" t="inlineStr">
        <is>
          <t>休み</t>
        </is>
      </c>
      <c r="C26" s="244" t="n"/>
      <c r="D26" s="118" t="n"/>
      <c r="E26" s="176" t="n"/>
      <c r="F26" s="243" t="n"/>
      <c r="G26" s="244" t="n"/>
      <c r="H26" s="119" t="n"/>
      <c r="I26" s="184" t="inlineStr">
        <is>
          <t>①</t>
        </is>
      </c>
      <c r="J26" s="92" t="inlineStr">
        <is>
          <t>毎日整備</t>
        </is>
      </c>
      <c r="K26" s="121" t="n"/>
      <c r="M26" s="184" t="n"/>
    </row>
    <row r="27" ht="17.25" customHeight="1" s="15">
      <c r="A27" s="245" t="n">
        <v>46041</v>
      </c>
      <c r="B27" s="175" t="inlineStr">
        <is>
          <t>掘削作業</t>
        </is>
      </c>
      <c r="C27" s="244" t="n"/>
      <c r="D27" s="118" t="n">
        <v>1</v>
      </c>
      <c r="E27" s="182" t="inlineStr">
        <is>
          <t>管布設</t>
        </is>
      </c>
      <c r="F27" s="243" t="n"/>
      <c r="G27" s="244" t="n"/>
      <c r="H27" s="126" t="inlineStr">
        <is>
          <t>中原</t>
        </is>
      </c>
      <c r="I27" s="184" t="inlineStr">
        <is>
          <t>②</t>
        </is>
      </c>
      <c r="J27" s="92" t="inlineStr">
        <is>
          <t>始業前点検</t>
        </is>
      </c>
      <c r="K27" s="121" t="n"/>
      <c r="M27" s="184" t="n"/>
    </row>
    <row r="28" ht="17.25" customHeight="1" s="15">
      <c r="A28" s="245" t="n">
        <v>46042</v>
      </c>
      <c r="B28" s="175" t="inlineStr">
        <is>
          <t>建設機械の管理及び点検・整備作業</t>
        </is>
      </c>
      <c r="C28" s="244" t="n"/>
      <c r="D28" s="118" t="n">
        <v>3</v>
      </c>
      <c r="E28" s="182" t="inlineStr">
        <is>
          <t>バケット交換</t>
        </is>
      </c>
      <c r="F28" s="243" t="n"/>
      <c r="G28" s="244" t="n"/>
      <c r="H28" s="126" t="inlineStr">
        <is>
          <t>中原</t>
        </is>
      </c>
      <c r="I28" s="184" t="inlineStr">
        <is>
          <t>③</t>
        </is>
      </c>
      <c r="J28" s="148" t="inlineStr">
        <is>
          <t>作業終了後の機体の清掃及び燃料補給</t>
        </is>
      </c>
      <c r="K28" s="121" t="n"/>
      <c r="M28" s="184" t="n"/>
    </row>
    <row r="29" ht="17.25" customHeight="1" s="15">
      <c r="A29" s="245" t="n">
        <v>46043</v>
      </c>
      <c r="B29" s="175" t="inlineStr">
        <is>
          <t>土工作業(対象職種・作業に係る手作業の作業）</t>
        </is>
      </c>
      <c r="C29" s="244" t="n"/>
      <c r="D29" s="118" t="n">
        <v>3</v>
      </c>
      <c r="E29" s="182" t="inlineStr">
        <is>
          <t>蓋かさ上げ</t>
        </is>
      </c>
      <c r="F29" s="243" t="n"/>
      <c r="G29" s="244" t="n"/>
      <c r="H29" s="126" t="inlineStr">
        <is>
          <t>中原</t>
        </is>
      </c>
      <c r="I29" s="184" t="inlineStr">
        <is>
          <t>2-(4)</t>
        </is>
      </c>
      <c r="J29" s="92" t="inlineStr">
        <is>
          <t>安全衛生業務</t>
        </is>
      </c>
      <c r="K29" s="149" t="n"/>
      <c r="M29" s="184" t="n"/>
    </row>
    <row r="30" ht="17.25" customHeight="1" s="15">
      <c r="A30" s="245" t="n">
        <v>46044</v>
      </c>
      <c r="B30" s="175" t="inlineStr">
        <is>
          <t>掘削作業</t>
        </is>
      </c>
      <c r="C30" s="244" t="n"/>
      <c r="D30" s="118" t="n">
        <v>1</v>
      </c>
      <c r="E30" s="182" t="inlineStr">
        <is>
          <t>水道掘削</t>
        </is>
      </c>
      <c r="F30" s="243" t="n"/>
      <c r="G30" s="244" t="n"/>
      <c r="H30" s="126" t="inlineStr">
        <is>
          <t>中原</t>
        </is>
      </c>
      <c r="I30" s="184" t="inlineStr">
        <is>
          <t>①</t>
        </is>
      </c>
      <c r="J30" s="148" t="inlineStr">
        <is>
          <t>雇入れ時等の安全衛生教育</t>
        </is>
      </c>
      <c r="K30" s="121" t="n"/>
      <c r="M30" s="184" t="n"/>
    </row>
    <row r="31" ht="17.25" customHeight="1" s="15">
      <c r="A31" s="245" t="n">
        <v>46045</v>
      </c>
      <c r="B31" s="175" t="inlineStr">
        <is>
          <t>土工作業(対象職種・作業に係る手作業の作業）</t>
        </is>
      </c>
      <c r="C31" s="244" t="n"/>
      <c r="D31" s="118" t="n">
        <v>3</v>
      </c>
      <c r="E31" s="182" t="inlineStr">
        <is>
          <t>手元作業</t>
        </is>
      </c>
      <c r="F31" s="243" t="n"/>
      <c r="G31" s="244" t="n"/>
      <c r="H31" s="126" t="inlineStr">
        <is>
          <t>中原</t>
        </is>
      </c>
      <c r="I31" s="184" t="inlineStr">
        <is>
          <t>②</t>
        </is>
      </c>
      <c r="J31" s="148" t="inlineStr">
        <is>
          <t>作業開始前の安全装置等の点検作業</t>
        </is>
      </c>
      <c r="K31" s="149" t="n"/>
      <c r="M31" s="184" t="n"/>
    </row>
    <row r="32" ht="17.25" customHeight="1" s="15">
      <c r="A32" s="245" t="n">
        <v>46046</v>
      </c>
      <c r="B32" s="175" t="inlineStr">
        <is>
          <t>休み</t>
        </is>
      </c>
      <c r="C32" s="244" t="n"/>
      <c r="D32" s="118" t="n"/>
      <c r="E32" s="176" t="n"/>
      <c r="F32" s="243" t="n"/>
      <c r="G32" s="244" t="n"/>
      <c r="H32" s="119" t="n"/>
      <c r="I32" s="184" t="inlineStr">
        <is>
          <t>③</t>
        </is>
      </c>
      <c r="J32" s="148" t="inlineStr">
        <is>
          <t>建設機械施工職種に必要な整理整頓作業</t>
        </is>
      </c>
      <c r="K32" s="149" t="n"/>
      <c r="M32" s="184" t="n"/>
    </row>
    <row r="33" ht="17.25" customHeight="1" s="15">
      <c r="A33" s="245" t="n">
        <v>46047</v>
      </c>
      <c r="B33" s="175" t="inlineStr">
        <is>
          <t>休み</t>
        </is>
      </c>
      <c r="C33" s="244" t="n"/>
      <c r="D33" s="118" t="n"/>
      <c r="E33" s="176" t="n"/>
      <c r="F33" s="243" t="n"/>
      <c r="G33" s="244" t="n"/>
      <c r="H33" s="119" t="n"/>
      <c r="I33" s="184" t="inlineStr">
        <is>
          <t>④</t>
        </is>
      </c>
      <c r="J33" s="148" t="inlineStr">
        <is>
          <t>建設機械施工職種の作業用機械及び周囲の安全確認作業</t>
        </is>
      </c>
      <c r="K33" s="149" t="n"/>
      <c r="M33" s="184" t="n"/>
    </row>
    <row r="34" ht="17.25" customHeight="1" s="15">
      <c r="A34" s="245" t="n">
        <v>46048</v>
      </c>
      <c r="B34" s="175" t="inlineStr">
        <is>
          <t>掘削作業</t>
        </is>
      </c>
      <c r="C34" s="244" t="n"/>
      <c r="D34" s="118" t="n">
        <v>1</v>
      </c>
      <c r="E34" s="182" t="inlineStr">
        <is>
          <t>管布設</t>
        </is>
      </c>
      <c r="F34" s="243" t="n"/>
      <c r="G34" s="244" t="n"/>
      <c r="H34" s="126" t="inlineStr">
        <is>
          <t>中原</t>
        </is>
      </c>
      <c r="I34" s="184" t="inlineStr">
        <is>
          <t>⑤</t>
        </is>
      </c>
      <c r="J34" s="148" t="inlineStr">
        <is>
          <t>保護具の着用と服装の安全点検作業</t>
        </is>
      </c>
      <c r="K34" s="149" t="n"/>
      <c r="M34" s="184" t="n"/>
    </row>
    <row r="35" ht="17.25" customHeight="1" s="15">
      <c r="A35" s="245" t="n">
        <v>46049</v>
      </c>
      <c r="B35" s="175" t="inlineStr">
        <is>
          <t>安全衛生業務</t>
        </is>
      </c>
      <c r="C35" s="244" t="n"/>
      <c r="D35" s="118" t="n">
        <v>6</v>
      </c>
      <c r="E35" s="182" t="inlineStr">
        <is>
          <t>安全訓練</t>
        </is>
      </c>
      <c r="F35" s="243" t="n"/>
      <c r="G35" s="244" t="n"/>
      <c r="H35" s="126" t="inlineStr">
        <is>
          <t>中原</t>
        </is>
      </c>
      <c r="I35" s="184" t="inlineStr">
        <is>
          <t>⑥</t>
        </is>
      </c>
      <c r="J35" s="148" t="inlineStr">
        <is>
          <t>安全装置の使用等による作業</t>
        </is>
      </c>
      <c r="K35" s="149" t="n"/>
      <c r="M35" s="184" t="n"/>
    </row>
    <row r="36" ht="17.25" customHeight="1" s="15">
      <c r="A36" s="245" t="n">
        <v>46050</v>
      </c>
      <c r="B36" s="175" t="inlineStr">
        <is>
          <t>土工作業(対象職種・作業に係る手作業の作業）</t>
        </is>
      </c>
      <c r="C36" s="244" t="n"/>
      <c r="D36" s="118" t="n">
        <v>3</v>
      </c>
      <c r="E36" s="182" t="inlineStr">
        <is>
          <t>手元作業</t>
        </is>
      </c>
      <c r="F36" s="243" t="n"/>
      <c r="G36" s="244" t="n"/>
      <c r="H36" s="126" t="inlineStr">
        <is>
          <t>中原</t>
        </is>
      </c>
      <c r="I36" s="184" t="inlineStr">
        <is>
          <t>⑦</t>
        </is>
      </c>
      <c r="J36" s="148" t="inlineStr">
        <is>
          <t>労働安全衛生上の有害性を防止するための作業</t>
        </is>
      </c>
      <c r="K36" s="149" t="n"/>
      <c r="M36" s="184" t="n"/>
    </row>
    <row r="37" ht="17.25" customHeight="1" s="15">
      <c r="A37" s="245" t="n">
        <v>46051</v>
      </c>
      <c r="B37" s="175" t="inlineStr">
        <is>
          <t>土工作業(対象職種・作業に係る手作業の作業）</t>
        </is>
      </c>
      <c r="C37" s="244" t="n"/>
      <c r="D37" s="118" t="n">
        <v>3</v>
      </c>
      <c r="E37" s="182" t="inlineStr">
        <is>
          <t>手元作業</t>
        </is>
      </c>
      <c r="F37" s="243" t="n"/>
      <c r="G37" s="244" t="n"/>
      <c r="H37" s="126" t="inlineStr">
        <is>
          <t>中原</t>
        </is>
      </c>
      <c r="I37" s="184" t="inlineStr">
        <is>
          <t>⑧</t>
        </is>
      </c>
      <c r="J37" s="148" t="inlineStr">
        <is>
          <t>異常時の応急措置を習得するための作業</t>
        </is>
      </c>
      <c r="K37" s="149" t="n"/>
      <c r="M37" s="184" t="n"/>
    </row>
    <row r="38" ht="17.25" customHeight="1" s="15">
      <c r="A38" s="245" t="n">
        <v>46052</v>
      </c>
      <c r="B38" s="175" t="inlineStr">
        <is>
          <t>建設機械施工職種に必要な整理整頓作業</t>
        </is>
      </c>
      <c r="C38" s="244" t="n"/>
      <c r="D38" s="118" t="n">
        <v>2</v>
      </c>
      <c r="E38" s="182" t="inlineStr">
        <is>
          <t>道具整理</t>
        </is>
      </c>
      <c r="F38" s="243" t="n"/>
      <c r="G38" s="244" t="n"/>
      <c r="H38" s="126" t="inlineStr">
        <is>
          <t>中原</t>
        </is>
      </c>
      <c r="I38" s="184" t="inlineStr">
        <is>
          <t>3①</t>
        </is>
      </c>
      <c r="J38" s="148" t="inlineStr">
        <is>
          <t>押土整地作業</t>
        </is>
      </c>
      <c r="K38" s="149" t="n"/>
      <c r="M38" s="16" t="n">
        <v>3</v>
      </c>
    </row>
    <row r="39" ht="17.25" customHeight="1" s="15">
      <c r="A39" s="245" t="n">
        <v>46053</v>
      </c>
      <c r="B39" s="175" t="inlineStr">
        <is>
          <t>建設機械の移送車両への積載及び移送作業</t>
        </is>
      </c>
      <c r="C39" s="244" t="n"/>
      <c r="D39" s="118" t="n">
        <v>5</v>
      </c>
      <c r="E39" s="182" t="inlineStr">
        <is>
          <t>ユンボ回送</t>
        </is>
      </c>
      <c r="F39" s="243" t="n"/>
      <c r="G39" s="244" t="n"/>
      <c r="H39" s="126" t="inlineStr">
        <is>
          <t>中原</t>
        </is>
      </c>
      <c r="I39" s="184" t="inlineStr">
        <is>
          <t>②</t>
        </is>
      </c>
      <c r="J39" s="92" t="inlineStr">
        <is>
          <t>積込み作業</t>
        </is>
      </c>
      <c r="K39" s="121" t="n"/>
      <c r="M39" s="184" t="n"/>
    </row>
    <row r="40" ht="13.5" customHeight="1" s="15">
      <c r="A40" s="94" t="inlineStr">
        <is>
          <t>(注意)</t>
        </is>
      </c>
      <c r="B40" s="92" t="n"/>
      <c r="C40" s="92" t="n"/>
      <c r="D40" s="92" t="n"/>
      <c r="E40" s="92" t="n"/>
      <c r="F40" s="92" t="n"/>
      <c r="G40" s="92" t="n"/>
      <c r="H40" s="92" t="n"/>
      <c r="I40" s="184" t="inlineStr">
        <is>
          <t>③</t>
        </is>
      </c>
      <c r="J40" s="92" t="inlineStr">
        <is>
          <t>締固め作業</t>
        </is>
      </c>
      <c r="K40" s="92" t="n"/>
    </row>
    <row r="41" ht="13.5" customHeight="1" s="15">
      <c r="A41" s="92" t="inlineStr">
        <is>
          <t xml:space="preserve">　　　　1　技能実習の区分、技能実習の期間、技能実習生に行わせる業務等が異なる場合は、分けて作成すること。</t>
        </is>
      </c>
      <c r="B41" s="92" t="n"/>
      <c r="C41" s="92" t="n"/>
      <c r="D41" s="92" t="n"/>
      <c r="E41" s="92" t="n"/>
      <c r="F41" s="92" t="n"/>
      <c r="G41" s="92" t="n"/>
      <c r="H41" s="92" t="n"/>
      <c r="I41" s="184" t="inlineStr">
        <is>
          <t>④</t>
        </is>
      </c>
      <c r="J41" s="92" t="inlineStr">
        <is>
          <t>建設機械施工管理作業</t>
        </is>
      </c>
      <c r="K41" s="92" t="n"/>
    </row>
    <row r="42" ht="13.5" customHeight="1" s="15">
      <c r="A42" s="92" t="inlineStr">
        <is>
          <t xml:space="preserve">　　　　2　技能実習生に従事させた業務の欄の右欄は、技能実習計画の実習実施予定表(別記様式第1号第4面から第6面まで)</t>
        </is>
      </c>
      <c r="B42" s="92" t="n"/>
      <c r="C42" s="92" t="n"/>
      <c r="D42" s="92" t="n"/>
      <c r="E42" s="92" t="n"/>
      <c r="F42" s="92" t="n"/>
      <c r="G42" s="92" t="n"/>
      <c r="H42" s="92" t="n"/>
      <c r="I42" s="184" t="inlineStr">
        <is>
          <t>⑤</t>
        </is>
      </c>
      <c r="J42" s="92" t="inlineStr">
        <is>
          <t>土工作業(対象職種・作業に係る手作業の作業）</t>
        </is>
      </c>
      <c r="K42" s="92" t="n"/>
    </row>
    <row r="43" ht="13.5" customHeight="1" s="15">
      <c r="A43" s="92" t="inlineStr">
        <is>
          <t xml:space="preserve">　　　　　の技能実習の内容欄の番号を記載すること。</t>
        </is>
      </c>
      <c r="B43" s="92" t="n"/>
      <c r="C43" s="92" t="n"/>
      <c r="D43" s="92" t="n"/>
      <c r="E43" s="92" t="n"/>
      <c r="F43" s="92" t="n"/>
      <c r="G43" s="92" t="n"/>
      <c r="H43" s="92" t="n"/>
      <c r="I43" s="184" t="inlineStr">
        <is>
          <t>⑥</t>
        </is>
      </c>
      <c r="J43" s="148" t="inlineStr">
        <is>
          <t>建設機械の管理及び点検・整備作業</t>
        </is>
      </c>
      <c r="K43" s="148" t="n"/>
    </row>
    <row r="44" ht="18" customHeight="1" s="15">
      <c r="I44" s="184" t="inlineStr">
        <is>
          <t>⑦</t>
        </is>
      </c>
      <c r="J44" s="92" t="inlineStr">
        <is>
          <t>各種揚重運搬機械の運転作業</t>
        </is>
      </c>
      <c r="K44" s="92" t="n"/>
    </row>
    <row r="45" ht="18" customHeight="1" s="15">
      <c r="I45" s="184" t="inlineStr">
        <is>
          <t>⑧</t>
        </is>
      </c>
      <c r="J45" s="148" t="inlineStr">
        <is>
          <t>玉掛け作業(特別教育又は技能講習が必要）</t>
        </is>
      </c>
    </row>
    <row r="46" ht="18" customHeight="1" s="15">
      <c r="I46" s="184" t="n">
        <v>5</v>
      </c>
      <c r="J46" s="148" t="inlineStr">
        <is>
          <t>建設機械の移送車両への積載及び移送作業</t>
        </is>
      </c>
    </row>
    <row r="47" ht="18" customHeight="1" s="15">
      <c r="J47" s="92" t="inlineStr">
        <is>
          <t>休み</t>
        </is>
      </c>
    </row>
  </sheetData>
  <mergeCells count="105">
    <mergeCell ref="E13:G13"/>
    <mergeCell ref="E31:G31"/>
    <mergeCell ref="B22:C22"/>
    <mergeCell ref="B31:C31"/>
    <mergeCell ref="E15:G15"/>
    <mergeCell ref="B12:C12"/>
    <mergeCell ref="B21:C21"/>
    <mergeCell ref="C4:G4"/>
    <mergeCell ref="M35:N35"/>
    <mergeCell ref="M10:N10"/>
    <mergeCell ref="E26:G26"/>
    <mergeCell ref="B14:C14"/>
    <mergeCell ref="M16:N16"/>
    <mergeCell ref="B13:C13"/>
    <mergeCell ref="E16:G16"/>
    <mergeCell ref="B38:C38"/>
    <mergeCell ref="M25:N25"/>
    <mergeCell ref="M36:N36"/>
    <mergeCell ref="E18:G18"/>
    <mergeCell ref="M33:N33"/>
    <mergeCell ref="M18:N18"/>
    <mergeCell ref="M8:N8"/>
    <mergeCell ref="M17:N17"/>
    <mergeCell ref="B24:C24"/>
    <mergeCell ref="B33:C33"/>
    <mergeCell ref="E35:G35"/>
    <mergeCell ref="B32:C32"/>
    <mergeCell ref="M19:N19"/>
    <mergeCell ref="B26:C26"/>
    <mergeCell ref="B35:C35"/>
    <mergeCell ref="E20:G20"/>
    <mergeCell ref="R1:V1"/>
    <mergeCell ref="E28:G28"/>
    <mergeCell ref="B16:C16"/>
    <mergeCell ref="B25:C25"/>
    <mergeCell ref="B8:D8"/>
    <mergeCell ref="R10:S10"/>
    <mergeCell ref="E30:G30"/>
    <mergeCell ref="B27:C27"/>
    <mergeCell ref="B18:C18"/>
    <mergeCell ref="E6:G6"/>
    <mergeCell ref="B11:C11"/>
    <mergeCell ref="M13:N13"/>
    <mergeCell ref="E32:G32"/>
    <mergeCell ref="M21:N21"/>
    <mergeCell ref="B29:C29"/>
    <mergeCell ref="D5:F5"/>
    <mergeCell ref="B37:C37"/>
    <mergeCell ref="M27:N27"/>
    <mergeCell ref="E24:G24"/>
    <mergeCell ref="M24:N24"/>
    <mergeCell ref="E33:G33"/>
    <mergeCell ref="B15:C15"/>
    <mergeCell ref="E8:G8"/>
    <mergeCell ref="E17:G17"/>
    <mergeCell ref="U10:V10"/>
    <mergeCell ref="E10:G10"/>
    <mergeCell ref="E19:G19"/>
    <mergeCell ref="M34:N34"/>
    <mergeCell ref="E34:G34"/>
    <mergeCell ref="E9:G9"/>
    <mergeCell ref="M9:N9"/>
    <mergeCell ref="M39:N39"/>
    <mergeCell ref="E36:G36"/>
    <mergeCell ref="E11:G11"/>
    <mergeCell ref="M11:N11"/>
    <mergeCell ref="T13:V13"/>
    <mergeCell ref="B17:C17"/>
    <mergeCell ref="M31:N31"/>
    <mergeCell ref="M15:N15"/>
    <mergeCell ref="E22:G22"/>
    <mergeCell ref="M12:N12"/>
    <mergeCell ref="U21:V21"/>
    <mergeCell ref="M37:N37"/>
    <mergeCell ref="E37:G37"/>
    <mergeCell ref="B34:C34"/>
    <mergeCell ref="B19:C19"/>
    <mergeCell ref="B28:C28"/>
    <mergeCell ref="E12:G12"/>
    <mergeCell ref="E21:G21"/>
    <mergeCell ref="B9:C9"/>
    <mergeCell ref="M26:N26"/>
    <mergeCell ref="B30:C30"/>
    <mergeCell ref="E14:G14"/>
    <mergeCell ref="M29:N29"/>
    <mergeCell ref="E23:G23"/>
    <mergeCell ref="M23:N23"/>
    <mergeCell ref="B20:C20"/>
    <mergeCell ref="B39:C39"/>
    <mergeCell ref="M20:N20"/>
    <mergeCell ref="E27:G27"/>
    <mergeCell ref="B23:C23"/>
    <mergeCell ref="E25:G25"/>
    <mergeCell ref="R21:S21"/>
    <mergeCell ref="M22:N22"/>
    <mergeCell ref="M30:N30"/>
    <mergeCell ref="R12:V12"/>
    <mergeCell ref="M28:N28"/>
    <mergeCell ref="B10:C10"/>
    <mergeCell ref="M32:N32"/>
    <mergeCell ref="E39:G39"/>
    <mergeCell ref="M14:N14"/>
    <mergeCell ref="B36:C36"/>
    <mergeCell ref="E29:G29"/>
    <mergeCell ref="E38:G38"/>
  </mergeCells>
  <conditionalFormatting sqref="T13:V13">
    <cfRule type="expression" priority="6" dxfId="1">
      <formula>LEFT(T13,1)="✓"</formula>
    </cfRule>
    <cfRule type="expression" priority="7" dxfId="0">
      <formula>LEFT(T13,1)="⚠"</formula>
    </cfRule>
  </conditionalFormatting>
  <conditionalFormatting sqref="U10:V10">
    <cfRule type="expression" priority="4" dxfId="1">
      <formula>LEFT(U10,1)="✓"</formula>
    </cfRule>
    <cfRule type="expression" priority="5" dxfId="0">
      <formula>LEFT(U10,1)="△"</formula>
    </cfRule>
  </conditionalFormatting>
  <conditionalFormatting sqref="U21:V21">
    <cfRule type="expression" priority="8" dxfId="1">
      <formula>LEFT(U21,1)="✓"</formula>
    </cfRule>
    <cfRule type="expression" priority="9" dxfId="0">
      <formula>LEFT(U21,1)="⚠"</formula>
    </cfRule>
  </conditionalFormatting>
  <conditionalFormatting sqref="V4:V9">
    <cfRule type="expression" priority="2" dxfId="1">
      <formula>LEFT(V4,1)="✓"</formula>
    </cfRule>
    <cfRule type="expression" priority="3" dxfId="0">
      <formula>LEFT(V4,1)="△"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ColWidth="8.5" defaultRowHeight="18"/>
  <cols>
    <col width="10.3984375" customWidth="1" style="15" min="1" max="1"/>
    <col width="6.8984375" customWidth="1" style="15" min="3" max="3"/>
    <col width="6" customWidth="1" style="15" min="4" max="4"/>
    <col width="10.59765625" customWidth="1" style="15" min="5" max="5"/>
    <col width="9" customWidth="1" style="15" min="6" max="6"/>
    <col width="15.3984375" customWidth="1" style="15" min="7" max="7"/>
    <col width="12" customWidth="1" style="15" min="8" max="8"/>
    <col width="6" customWidth="1" style="15" min="9" max="9"/>
    <col width="6.8984375" customWidth="1" style="15" min="11" max="11"/>
    <col width="6" customWidth="1" style="15" min="12" max="12"/>
    <col width="5" customWidth="1" style="15" min="18" max="18"/>
    <col width="9" customWidth="1" style="15" min="19" max="20"/>
    <col width="8" customWidth="1" style="15" min="21" max="21"/>
    <col width="14" customWidth="1" style="15" min="22" max="22"/>
  </cols>
  <sheetData>
    <row r="1" ht="10.5" customHeight="1" s="15">
      <c r="A1" s="92" t="inlineStr">
        <is>
          <t>参考様式第4－2号別紙(規則第22号第1項第3号関係)</t>
        </is>
      </c>
      <c r="G1" s="93" t="n"/>
      <c r="H1" s="94" t="inlineStr">
        <is>
          <t>(日本工業規格A列4）</t>
        </is>
      </c>
      <c r="R1" s="168" t="inlineStr">
        <is>
          <t>【月次 時間数 進捗モニター】</t>
        </is>
      </c>
    </row>
    <row r="2" ht="12.75" customHeight="1" s="15">
      <c r="A2" s="95" t="inlineStr">
        <is>
          <t>A・B・C・D・E・F</t>
        </is>
      </c>
    </row>
    <row r="3" ht="18" customHeight="1" s="15">
      <c r="R3" s="96" t="inlineStr">
        <is>
          <t>番号</t>
        </is>
      </c>
      <c r="S3" s="96" t="inlineStr">
        <is>
          <t>必要時間</t>
        </is>
      </c>
      <c r="T3" s="96" t="inlineStr">
        <is>
          <t>実績時間</t>
        </is>
      </c>
      <c r="U3" s="96" t="inlineStr">
        <is>
          <t>達成率</t>
        </is>
      </c>
      <c r="V3" s="96" t="inlineStr">
        <is>
          <t>状態</t>
        </is>
      </c>
    </row>
    <row r="4" ht="18.75" customHeight="1" s="15">
      <c r="C4" s="169" t="inlineStr">
        <is>
          <t xml:space="preserve">　　　技　　能　　実　　習　　日　　誌</t>
        </is>
      </c>
      <c r="R4" s="97" t="n">
        <v>1</v>
      </c>
      <c r="S4" s="201" t="n">
        <v>90</v>
      </c>
      <c r="T4" s="204">
        <f>COUNTIF($D$9:$D$39,1)*8</f>
        <v/>
      </c>
      <c r="U4" s="98">
        <f>T4/S4</f>
        <v/>
      </c>
      <c r="V4" s="99">
        <f>IF(T4&gt;=S4,"✓ 達成","△ あと "&amp;TEXT(S4-T4,"0")&amp;"時間")</f>
        <v/>
      </c>
    </row>
    <row r="5" ht="18.75" customHeight="1" s="15">
      <c r="D5" s="170" t="inlineStr">
        <is>
          <t>（　　　2026　　年　　2　　月分）</t>
        </is>
      </c>
      <c r="R5" s="100" t="n">
        <v>2</v>
      </c>
      <c r="S5" s="207" t="n">
        <v>10</v>
      </c>
      <c r="T5" s="210">
        <f>COUNTIF($D$9:$D$39,2)*8</f>
        <v/>
      </c>
      <c r="U5" s="101">
        <f>T5/S5</f>
        <v/>
      </c>
      <c r="V5" s="102">
        <f>IF(T5&gt;=S5,"✓ 達成","△ あと "&amp;TEXT(S5-T5,"0")&amp;"時間")</f>
        <v/>
      </c>
    </row>
    <row r="6" ht="18.75" customHeight="1" s="15">
      <c r="E6" s="171" t="inlineStr">
        <is>
          <t xml:space="preserve">　　　　　　氏名　ヨザ</t>
        </is>
      </c>
      <c r="F6" s="242" t="n"/>
      <c r="G6" s="242" t="n"/>
      <c r="R6" s="103" t="n">
        <v>3</v>
      </c>
      <c r="S6" s="213" t="n">
        <v>44</v>
      </c>
      <c r="T6" s="216">
        <f>COUNTIF($D$9:$D$39,3)*8</f>
        <v/>
      </c>
      <c r="U6" s="104">
        <f>T6/S6</f>
        <v/>
      </c>
      <c r="V6" s="105">
        <f>IF(T6&gt;=S6,"✓ 達成","△ あと "&amp;TEXT(S6-T6,"0")&amp;"時間")</f>
        <v/>
      </c>
    </row>
    <row r="7" ht="18.75" customHeight="1" s="15">
      <c r="A7" s="106" t="inlineStr">
        <is>
          <t>(対象:別紙｢技能実習生一覧表｣のとおり)</t>
        </is>
      </c>
      <c r="R7" s="107" t="n">
        <v>4</v>
      </c>
      <c r="S7" s="219" t="n">
        <v>8</v>
      </c>
      <c r="T7" s="222">
        <f>COUNTIF($D$9:$D$39,4)*8</f>
        <v/>
      </c>
      <c r="U7" s="108">
        <f>T7/S7</f>
        <v/>
      </c>
      <c r="V7" s="109">
        <f>IF(T7&gt;=S7,"✓ 達成","△ あと "&amp;TEXT(S7-T7,"0")&amp;"時間")</f>
        <v/>
      </c>
    </row>
    <row r="8" ht="18.75" customHeight="1" s="15">
      <c r="A8" s="172" t="inlineStr">
        <is>
          <t>日付</t>
        </is>
      </c>
      <c r="B8" s="172" t="inlineStr">
        <is>
          <t>技能実習生に従事させた業務</t>
        </is>
      </c>
      <c r="C8" s="243" t="n"/>
      <c r="D8" s="244" t="n"/>
      <c r="E8" s="173" t="inlineStr">
        <is>
          <t>技能実習生に対する指導の内容</t>
        </is>
      </c>
      <c r="F8" s="243" t="n"/>
      <c r="G8" s="244" t="n"/>
      <c r="H8" s="173" t="inlineStr">
        <is>
          <t>指導者氏名</t>
        </is>
      </c>
      <c r="J8" s="112" t="inlineStr">
        <is>
          <t>従事させた業務</t>
        </is>
      </c>
      <c r="K8" s="113" t="n"/>
      <c r="M8" s="174" t="n"/>
      <c r="R8" s="114" t="n">
        <v>5</v>
      </c>
      <c r="S8" s="225" t="n">
        <v>15</v>
      </c>
      <c r="T8" s="228">
        <f>COUNTIF($D$9:$D$39,5)*8</f>
        <v/>
      </c>
      <c r="U8" s="115">
        <f>T8/S8</f>
        <v/>
      </c>
      <c r="V8" s="116">
        <f>IF(T8&gt;=S8,"✓ 達成","△ あと "&amp;TEXT(S8-T8,"0")&amp;"時間")</f>
        <v/>
      </c>
    </row>
    <row r="9" ht="18.75" customHeight="1" s="15">
      <c r="A9" s="245" t="n">
        <v>46054</v>
      </c>
      <c r="B9" s="175" t="inlineStr">
        <is>
          <t>休み</t>
        </is>
      </c>
      <c r="C9" s="244" t="n"/>
      <c r="D9" s="118" t="n"/>
      <c r="E9" s="176" t="n"/>
      <c r="F9" s="243" t="n"/>
      <c r="G9" s="244" t="n"/>
      <c r="H9" s="119" t="n"/>
      <c r="I9" s="184" t="inlineStr">
        <is>
          <t>1-(1)</t>
        </is>
      </c>
      <c r="J9" s="92" t="inlineStr">
        <is>
          <t>走行操作作業</t>
        </is>
      </c>
      <c r="K9" s="121" t="n"/>
      <c r="L9" s="184" t="n"/>
      <c r="M9" s="174" t="n"/>
      <c r="R9" s="122" t="n">
        <v>6</v>
      </c>
      <c r="S9" s="231" t="n">
        <v>8</v>
      </c>
      <c r="T9" s="234">
        <f>COUNTIF($D$9:$D$39,6)*8</f>
        <v/>
      </c>
      <c r="U9" s="123">
        <f>T9/S9</f>
        <v/>
      </c>
      <c r="V9" s="124">
        <f>IF(T9&gt;=S9,"✓ 達成","△ あと "&amp;TEXT(S9-T9,"0")&amp;"時間")</f>
        <v/>
      </c>
    </row>
    <row r="10" ht="21.75" customHeight="1" s="15">
      <c r="A10" s="245" t="n">
        <v>46055</v>
      </c>
      <c r="B10" s="175" t="inlineStr">
        <is>
          <t>掘削作業</t>
        </is>
      </c>
      <c r="C10" s="244" t="n"/>
      <c r="D10" s="184" t="n">
        <v>1</v>
      </c>
      <c r="E10" s="176" t="inlineStr">
        <is>
          <t>マンホール布設</t>
        </is>
      </c>
      <c r="F10" s="243" t="n"/>
      <c r="G10" s="244" t="n"/>
      <c r="H10" s="119" t="inlineStr">
        <is>
          <t>中原</t>
        </is>
      </c>
      <c r="I10" s="184" t="inlineStr">
        <is>
          <t>①</t>
        </is>
      </c>
      <c r="J10" s="92" t="inlineStr">
        <is>
          <t>発進操作</t>
        </is>
      </c>
      <c r="K10" s="121" t="n"/>
      <c r="L10" s="184" t="n"/>
      <c r="M10" s="174" t="n"/>
      <c r="R10" s="177" t="inlineStr">
        <is>
          <t>合計実績</t>
        </is>
      </c>
      <c r="S10" s="194" t="n"/>
      <c r="T10" s="246">
        <f>SUM(T4:T9)</f>
        <v/>
      </c>
      <c r="U10" s="178">
        <f>IF(T10&gt;=175,"✓ 全番号クリア可能","△ まだ不足あり")</f>
        <v/>
      </c>
      <c r="V10" s="194" t="n"/>
    </row>
    <row r="11" ht="17.25" customHeight="1" s="15">
      <c r="A11" s="245" t="n">
        <v>46056</v>
      </c>
      <c r="B11" s="175" t="inlineStr">
        <is>
          <t>土砂積込み作業</t>
        </is>
      </c>
      <c r="C11" s="244" t="n"/>
      <c r="D11" s="118" t="n">
        <v>1</v>
      </c>
      <c r="E11" s="176" t="inlineStr">
        <is>
          <t>周囲の確認</t>
        </is>
      </c>
      <c r="F11" s="243" t="n"/>
      <c r="G11" s="244" t="n"/>
      <c r="H11" s="119" t="inlineStr">
        <is>
          <t>中原</t>
        </is>
      </c>
      <c r="I11" s="184" t="inlineStr">
        <is>
          <t>②</t>
        </is>
      </c>
      <c r="J11" s="92" t="inlineStr">
        <is>
          <t>平坦地走行操作</t>
        </is>
      </c>
      <c r="K11" s="121" t="n"/>
      <c r="L11" s="184" t="n"/>
      <c r="M11" s="174" t="n"/>
    </row>
    <row r="12" ht="21.75" customHeight="1" s="15">
      <c r="A12" s="245" t="n">
        <v>46057</v>
      </c>
      <c r="B12" s="175" t="inlineStr">
        <is>
          <t>掘削作業</t>
        </is>
      </c>
      <c r="C12" s="244" t="n"/>
      <c r="D12" s="118" t="n">
        <v>3</v>
      </c>
      <c r="E12" s="179" t="inlineStr">
        <is>
          <t>手元作業</t>
        </is>
      </c>
      <c r="F12" s="243" t="n"/>
      <c r="G12" s="244" t="n"/>
      <c r="H12" s="119" t="inlineStr">
        <is>
          <t>中原</t>
        </is>
      </c>
      <c r="I12" s="184" t="inlineStr">
        <is>
          <t>③</t>
        </is>
      </c>
      <c r="J12" s="92" t="inlineStr">
        <is>
          <t>登坂操作</t>
        </is>
      </c>
      <c r="K12" s="121" t="n"/>
      <c r="L12" s="184" t="n"/>
      <c r="M12" s="180" t="n"/>
      <c r="R12" s="181" t="inlineStr">
        <is>
          <t>【翌月 振り分け提案】　出勤日数を入力 ↓</t>
        </is>
      </c>
    </row>
    <row r="13" ht="17.25" customHeight="1" s="15">
      <c r="A13" s="245" t="n">
        <v>46058</v>
      </c>
      <c r="B13" s="175" t="inlineStr">
        <is>
          <t>走行操作作業</t>
        </is>
      </c>
      <c r="C13" s="244" t="n"/>
      <c r="D13" s="118" t="n">
        <v>1</v>
      </c>
      <c r="E13" s="182" t="inlineStr">
        <is>
          <t>登坂操作</t>
        </is>
      </c>
      <c r="F13" s="243" t="n"/>
      <c r="G13" s="244" t="n"/>
      <c r="H13" s="126" t="inlineStr">
        <is>
          <t>中原</t>
        </is>
      </c>
      <c r="I13" s="184" t="inlineStr">
        <is>
          <t>④</t>
        </is>
      </c>
      <c r="J13" s="92" t="inlineStr">
        <is>
          <t>降坂操作</t>
        </is>
      </c>
      <c r="K13" s="121" t="n"/>
      <c r="L13" s="184" t="n"/>
      <c r="M13" s="174" t="n"/>
      <c r="R13" s="127" t="inlineStr">
        <is>
          <t>出勤日数 →</t>
        </is>
      </c>
      <c r="S13" s="196" t="n">
        <v>22</v>
      </c>
      <c r="T13" s="183">
        <f>IF(S13&gt;=24,"✓ 必要日数(24日)をクリアできます","⚠ 最低24日必要です")</f>
        <v/>
      </c>
      <c r="U13" s="194" t="n"/>
      <c r="V13" s="194" t="n"/>
    </row>
    <row r="14" ht="18" customHeight="1" s="15">
      <c r="A14" s="245" t="n">
        <v>46059</v>
      </c>
      <c r="B14" s="175" t="inlineStr">
        <is>
          <t>毎日整備</t>
        </is>
      </c>
      <c r="C14" s="244" t="n"/>
      <c r="D14" s="118" t="n">
        <v>1</v>
      </c>
      <c r="E14" s="182" t="inlineStr">
        <is>
          <t>清掃作業</t>
        </is>
      </c>
      <c r="F14" s="243" t="n"/>
      <c r="G14" s="244" t="n"/>
      <c r="H14" s="126" t="inlineStr">
        <is>
          <t>中原</t>
        </is>
      </c>
      <c r="I14" s="184" t="inlineStr">
        <is>
          <t>⑤</t>
        </is>
      </c>
      <c r="J14" s="92" t="inlineStr">
        <is>
          <t>停止操作</t>
        </is>
      </c>
      <c r="K14" s="121" t="n"/>
      <c r="L14" s="184" t="n"/>
      <c r="M14" s="184" t="n"/>
      <c r="R14" s="128" t="inlineStr">
        <is>
          <t>番号</t>
        </is>
      </c>
      <c r="S14" s="128" t="inlineStr">
        <is>
          <t>必要日数</t>
        </is>
      </c>
      <c r="T14" s="128" t="inlineStr">
        <is>
          <t>推奨割当日</t>
        </is>
      </c>
      <c r="U14" s="128" t="inlineStr">
        <is>
          <t>今月残り日</t>
        </is>
      </c>
      <c r="V14" s="128" t="inlineStr">
        <is>
          <t>代表業務</t>
        </is>
      </c>
    </row>
    <row r="15" ht="18" customHeight="1" s="15">
      <c r="A15" s="245" t="n">
        <v>46060</v>
      </c>
      <c r="B15" s="175" t="inlineStr">
        <is>
          <t>締固め作業</t>
        </is>
      </c>
      <c r="C15" s="244" t="n"/>
      <c r="D15" s="184" t="n">
        <v>3</v>
      </c>
      <c r="E15" s="182" t="inlineStr">
        <is>
          <t>ランマ転圧</t>
        </is>
      </c>
      <c r="F15" s="243" t="n"/>
      <c r="G15" s="244" t="n"/>
      <c r="H15" s="126" t="inlineStr">
        <is>
          <t>中原</t>
        </is>
      </c>
      <c r="I15" s="184" t="inlineStr">
        <is>
          <t>⑥</t>
        </is>
      </c>
      <c r="J15" s="92" t="inlineStr">
        <is>
          <t>下車操作</t>
        </is>
      </c>
      <c r="K15" s="121" t="n"/>
      <c r="M15" s="184" t="n"/>
      <c r="R15" s="97" t="n">
        <v>1</v>
      </c>
      <c r="S15" s="247" t="n">
        <v>12</v>
      </c>
      <c r="T15" s="248">
        <f>ROUND($S$13*12/24,0)</f>
        <v/>
      </c>
      <c r="U15" s="202">
        <f>MAX(0,12-COUNTIF($D$9:$D$39,1))</f>
        <v/>
      </c>
      <c r="V15" s="131" t="inlineStr">
        <is>
          <t>掘削・積込・走行</t>
        </is>
      </c>
    </row>
    <row r="16" ht="18" customHeight="1" s="15">
      <c r="A16" s="245" t="n">
        <v>46061</v>
      </c>
      <c r="B16" s="175" t="inlineStr">
        <is>
          <t>休み</t>
        </is>
      </c>
      <c r="C16" s="244" t="n"/>
      <c r="D16" s="118" t="n"/>
      <c r="E16" s="182" t="n"/>
      <c r="F16" s="243" t="n"/>
      <c r="G16" s="244" t="n"/>
      <c r="H16" s="126" t="n"/>
      <c r="I16" s="184" t="inlineStr">
        <is>
          <t>1-(2)</t>
        </is>
      </c>
      <c r="J16" s="92" t="inlineStr">
        <is>
          <t>掘削作業</t>
        </is>
      </c>
      <c r="K16" s="121" t="n"/>
      <c r="M16" s="184" t="n"/>
      <c r="R16" s="100" t="n">
        <v>2</v>
      </c>
      <c r="S16" s="249" t="n">
        <v>2</v>
      </c>
      <c r="T16" s="250">
        <f>ROUND($S$13*2/24,0)</f>
        <v/>
      </c>
      <c r="U16" s="208">
        <f>MAX(0,2-COUNTIF($D$9:$D$39,2))</f>
        <v/>
      </c>
      <c r="V16" s="134" t="inlineStr">
        <is>
          <t>点検・整理</t>
        </is>
      </c>
    </row>
    <row r="17" ht="18" customHeight="1" s="15">
      <c r="A17" s="245" t="n">
        <v>46062</v>
      </c>
      <c r="B17" s="175" t="inlineStr">
        <is>
          <t>土工作業(対象職種・作業に係る手作業の作業）</t>
        </is>
      </c>
      <c r="C17" s="244" t="n"/>
      <c r="D17" s="118" t="n">
        <v>3</v>
      </c>
      <c r="E17" s="185" t="inlineStr">
        <is>
          <t>補助作業</t>
        </is>
      </c>
      <c r="F17" s="243" t="n"/>
      <c r="G17" s="244" t="n"/>
      <c r="H17" s="126" t="inlineStr">
        <is>
          <t>中原</t>
        </is>
      </c>
      <c r="I17" s="184" t="inlineStr">
        <is>
          <t>①</t>
        </is>
      </c>
      <c r="J17" s="92" t="inlineStr">
        <is>
          <t>溝掘削作業</t>
        </is>
      </c>
      <c r="K17" s="121" t="n"/>
      <c r="M17" s="184" t="n"/>
      <c r="R17" s="103" t="n">
        <v>3</v>
      </c>
      <c r="S17" s="251" t="n">
        <v>6</v>
      </c>
      <c r="T17" s="252">
        <f>ROUND($S$13*6/24,0)</f>
        <v/>
      </c>
      <c r="U17" s="214">
        <f>MAX(0,6-COUNTIF($D$9:$D$39,3))</f>
        <v/>
      </c>
      <c r="V17" s="137" t="inlineStr">
        <is>
          <t>掘削・締固・土工</t>
        </is>
      </c>
    </row>
    <row r="18" ht="18" customHeight="1" s="15">
      <c r="A18" s="245" t="n">
        <v>46063</v>
      </c>
      <c r="B18" s="175" t="inlineStr">
        <is>
          <t>始業前点検</t>
        </is>
      </c>
      <c r="C18" s="244" t="n"/>
      <c r="D18" s="118" t="n">
        <v>1</v>
      </c>
      <c r="E18" s="176" t="inlineStr">
        <is>
          <t>目視点検</t>
        </is>
      </c>
      <c r="F18" s="243" t="n"/>
      <c r="G18" s="244" t="n"/>
      <c r="H18" s="119" t="inlineStr">
        <is>
          <t>中原</t>
        </is>
      </c>
      <c r="I18" s="184" t="inlineStr">
        <is>
          <t>②</t>
        </is>
      </c>
      <c r="J18" s="92" t="inlineStr">
        <is>
          <t>建築物の基礎掘削作業</t>
        </is>
      </c>
      <c r="K18" s="121" t="n"/>
      <c r="M18" s="184" t="n"/>
      <c r="R18" s="107" t="n">
        <v>4</v>
      </c>
      <c r="S18" s="253" t="n">
        <v>1</v>
      </c>
      <c r="T18" s="254">
        <f>ROUND($S$13*1/24,0)</f>
        <v/>
      </c>
      <c r="U18" s="220">
        <f>MAX(0,1-COUNTIF($D$9:$D$39,4))</f>
        <v/>
      </c>
      <c r="V18" s="140" t="inlineStr">
        <is>
          <t>安全衛生・機械管理</t>
        </is>
      </c>
    </row>
    <row r="19" ht="18" customHeight="1" s="15">
      <c r="A19" s="245" t="n">
        <v>46064</v>
      </c>
      <c r="B19" s="175" t="inlineStr">
        <is>
          <t>積込み作業</t>
        </is>
      </c>
      <c r="C19" s="244" t="n"/>
      <c r="D19" s="118" t="n">
        <v>3</v>
      </c>
      <c r="E19" s="176" t="inlineStr">
        <is>
          <t>手元作業</t>
        </is>
      </c>
      <c r="F19" s="243" t="n"/>
      <c r="G19" s="244" t="n"/>
      <c r="H19" s="119" t="inlineStr">
        <is>
          <t>中原</t>
        </is>
      </c>
      <c r="I19" s="184" t="inlineStr">
        <is>
          <t>③</t>
        </is>
      </c>
      <c r="J19" s="92" t="inlineStr">
        <is>
          <t>地表面の浅い掘削作業</t>
        </is>
      </c>
      <c r="K19" s="121" t="n"/>
      <c r="M19" s="184" t="n"/>
      <c r="R19" s="114" t="n">
        <v>5</v>
      </c>
      <c r="S19" s="255" t="n">
        <v>2</v>
      </c>
      <c r="T19" s="256">
        <f>ROUND($S$13*2/24,0)</f>
        <v/>
      </c>
      <c r="U19" s="226">
        <f>MAX(0,2-COUNTIF($D$9:$D$39,5))</f>
        <v/>
      </c>
      <c r="V19" s="143" t="inlineStr">
        <is>
          <t>機械移送</t>
        </is>
      </c>
    </row>
    <row r="20" ht="18" customHeight="1" s="15">
      <c r="A20" s="245" t="n">
        <v>46065</v>
      </c>
      <c r="B20" s="175" t="inlineStr">
        <is>
          <t>安全衛生業務</t>
        </is>
      </c>
      <c r="C20" s="244" t="n"/>
      <c r="D20" s="118" t="n">
        <v>4</v>
      </c>
      <c r="E20" s="182" t="inlineStr">
        <is>
          <t>荷物搬入</t>
        </is>
      </c>
      <c r="F20" s="243" t="n"/>
      <c r="G20" s="244" t="n"/>
      <c r="H20" s="126" t="inlineStr">
        <is>
          <t>中原</t>
        </is>
      </c>
      <c r="I20" s="184" t="inlineStr">
        <is>
          <t>④</t>
        </is>
      </c>
      <c r="J20" s="92" t="inlineStr">
        <is>
          <t>法面の切取り仕上げ作業</t>
        </is>
      </c>
      <c r="K20" s="121" t="n"/>
      <c r="M20" s="184" t="n"/>
      <c r="R20" s="122" t="n">
        <v>6</v>
      </c>
      <c r="S20" s="257" t="n">
        <v>1</v>
      </c>
      <c r="T20" s="258">
        <f>ROUND($S$13*1/24,0)</f>
        <v/>
      </c>
      <c r="U20" s="232">
        <f>MAX(0,1-COUNTIF($D$9:$D$39,6))</f>
        <v/>
      </c>
      <c r="V20" s="146" t="inlineStr">
        <is>
          <t>安全訓練</t>
        </is>
      </c>
    </row>
    <row r="21" ht="21.75" customHeight="1" s="15">
      <c r="A21" s="245" t="n">
        <v>46066</v>
      </c>
      <c r="B21" s="175" t="inlineStr">
        <is>
          <t>安全衛生業務</t>
        </is>
      </c>
      <c r="C21" s="244" t="n"/>
      <c r="D21" s="118" t="n">
        <v>6</v>
      </c>
      <c r="E21" s="182" t="inlineStr">
        <is>
          <t>安全訓練</t>
        </is>
      </c>
      <c r="F21" s="243" t="n"/>
      <c r="G21" s="244" t="n"/>
      <c r="H21" s="126" t="inlineStr">
        <is>
          <t>中原</t>
        </is>
      </c>
      <c r="I21" s="184" t="inlineStr">
        <is>
          <t>⑤</t>
        </is>
      </c>
      <c r="J21" s="92" t="inlineStr">
        <is>
          <t>土砂積込み作業</t>
        </is>
      </c>
      <c r="K21" s="121" t="n"/>
      <c r="M21" s="184" t="n"/>
      <c r="R21" s="186" t="inlineStr">
        <is>
          <t>推奨日数合計</t>
        </is>
      </c>
      <c r="S21" s="194" t="n"/>
      <c r="T21" s="259">
        <f>SUM(T15:T20)</f>
        <v/>
      </c>
      <c r="U21" s="186">
        <f>IF($S$13&gt;=24,"✓ 全番号達成可能","⚠ 出勤日数が不足")</f>
        <v/>
      </c>
      <c r="V21" s="194" t="n"/>
    </row>
    <row r="22" ht="17.25" customHeight="1" s="15">
      <c r="A22" s="245" t="n">
        <v>46067</v>
      </c>
      <c r="B22" s="175" t="inlineStr">
        <is>
          <t>掘削作業</t>
        </is>
      </c>
      <c r="C22" s="244" t="n"/>
      <c r="D22" s="184" t="n">
        <v>1</v>
      </c>
      <c r="E22" s="182" t="inlineStr">
        <is>
          <t>法面掘削</t>
        </is>
      </c>
      <c r="F22" s="243" t="n"/>
      <c r="G22" s="244" t="n"/>
      <c r="H22" s="126" t="inlineStr">
        <is>
          <t>中原</t>
        </is>
      </c>
      <c r="I22" s="184" t="inlineStr">
        <is>
          <t>⑥</t>
        </is>
      </c>
      <c r="J22" s="92" t="inlineStr">
        <is>
          <t>固結した土砂の破砕及び積込み作業</t>
        </is>
      </c>
      <c r="K22" s="121" t="n"/>
      <c r="M22" s="184" t="n"/>
    </row>
    <row r="23" ht="17.25" customHeight="1" s="15">
      <c r="A23" s="245" t="n">
        <v>46068</v>
      </c>
      <c r="B23" s="175" t="inlineStr">
        <is>
          <t>休み</t>
        </is>
      </c>
      <c r="C23" s="244" t="n"/>
      <c r="D23" s="118" t="n"/>
      <c r="E23" s="182" t="n"/>
      <c r="F23" s="243" t="n"/>
      <c r="G23" s="244" t="n"/>
      <c r="H23" s="126" t="n"/>
      <c r="I23" s="184" t="inlineStr">
        <is>
          <t>⑦</t>
        </is>
      </c>
      <c r="J23" s="92" t="inlineStr">
        <is>
          <t>岩石の移動、除去作業</t>
        </is>
      </c>
      <c r="K23" s="121" t="n"/>
      <c r="M23" s="184" t="n"/>
    </row>
    <row r="24" ht="17.25" customHeight="1" s="15">
      <c r="A24" s="245" t="n">
        <v>46069</v>
      </c>
      <c r="B24" s="175" t="inlineStr">
        <is>
          <t>作業開始前の安全装置等の点検作業</t>
        </is>
      </c>
      <c r="C24" s="244" t="n"/>
      <c r="D24" s="118" t="n">
        <v>2</v>
      </c>
      <c r="E24" s="182" t="inlineStr">
        <is>
          <t>目視点検</t>
        </is>
      </c>
      <c r="F24" s="243" t="n"/>
      <c r="G24" s="244" t="n"/>
      <c r="H24" s="126" t="inlineStr">
        <is>
          <t>中原</t>
        </is>
      </c>
      <c r="I24" s="184" t="inlineStr">
        <is>
          <t>⑧</t>
        </is>
      </c>
      <c r="J24" s="92" t="inlineStr">
        <is>
          <t>粉砕した砕石の積込み作業</t>
        </is>
      </c>
      <c r="K24" s="121" t="n"/>
      <c r="M24" s="184" t="n"/>
    </row>
    <row r="25" ht="17.25" customHeight="1" s="15">
      <c r="A25" s="245" t="n">
        <v>46070</v>
      </c>
      <c r="B25" s="175" t="inlineStr">
        <is>
          <t>建設機械施工職種に必要な整理整頓作業</t>
        </is>
      </c>
      <c r="C25" s="244" t="n"/>
      <c r="D25" s="118" t="n">
        <v>2</v>
      </c>
      <c r="E25" s="182" t="inlineStr">
        <is>
          <t>現場整理</t>
        </is>
      </c>
      <c r="F25" s="243" t="n"/>
      <c r="G25" s="244" t="n"/>
      <c r="H25" s="126" t="inlineStr">
        <is>
          <t>中原</t>
        </is>
      </c>
      <c r="I25" s="184" t="inlineStr">
        <is>
          <t>1-(3)</t>
        </is>
      </c>
      <c r="J25" s="92" t="inlineStr">
        <is>
          <t>建設機械点検作業</t>
        </is>
      </c>
      <c r="K25" s="121" t="n"/>
      <c r="M25" s="184" t="n"/>
    </row>
    <row r="26" ht="17.25" customHeight="1" s="15">
      <c r="A26" s="245" t="n">
        <v>46071</v>
      </c>
      <c r="B26" s="175" t="inlineStr">
        <is>
          <t>建設機械の移送車両への積載及び移送作業</t>
        </is>
      </c>
      <c r="C26" s="244" t="n"/>
      <c r="D26" s="118" t="n">
        <v>5</v>
      </c>
      <c r="E26" s="176" t="inlineStr">
        <is>
          <t>声出し誘導</t>
        </is>
      </c>
      <c r="F26" s="243" t="n"/>
      <c r="G26" s="244" t="n"/>
      <c r="H26" s="119" t="inlineStr">
        <is>
          <t>中原</t>
        </is>
      </c>
      <c r="I26" s="184" t="inlineStr">
        <is>
          <t>①</t>
        </is>
      </c>
      <c r="J26" s="92" t="inlineStr">
        <is>
          <t>毎日整備</t>
        </is>
      </c>
      <c r="K26" s="121" t="n"/>
      <c r="M26" s="184" t="n"/>
    </row>
    <row r="27" ht="17.25" customHeight="1" s="15">
      <c r="A27" s="245" t="n">
        <v>46072</v>
      </c>
      <c r="B27" s="175" t="inlineStr">
        <is>
          <t>建設機械の移送車両への積載及び移送作業</t>
        </is>
      </c>
      <c r="C27" s="244" t="n"/>
      <c r="D27" s="118" t="n">
        <v>5</v>
      </c>
      <c r="E27" s="182" t="inlineStr">
        <is>
          <t>ユンボ回送</t>
        </is>
      </c>
      <c r="F27" s="243" t="n"/>
      <c r="G27" s="244" t="n"/>
      <c r="H27" s="126" t="inlineStr">
        <is>
          <t>中原</t>
        </is>
      </c>
      <c r="I27" s="184" t="inlineStr">
        <is>
          <t>②</t>
        </is>
      </c>
      <c r="J27" s="92" t="inlineStr">
        <is>
          <t>始業前点検</t>
        </is>
      </c>
      <c r="K27" s="121" t="n"/>
      <c r="M27" s="184" t="n"/>
    </row>
    <row r="28" ht="17.25" customHeight="1" s="15">
      <c r="A28" s="245" t="n">
        <v>46073</v>
      </c>
      <c r="B28" s="175" t="inlineStr">
        <is>
          <t>土砂積込み作業</t>
        </is>
      </c>
      <c r="C28" s="244" t="n"/>
      <c r="D28" s="118" t="n">
        <v>1</v>
      </c>
      <c r="E28" s="182" t="inlineStr">
        <is>
          <t>積込み確認</t>
        </is>
      </c>
      <c r="F28" s="243" t="n"/>
      <c r="G28" s="244" t="n"/>
      <c r="H28" s="126" t="inlineStr">
        <is>
          <t>中原</t>
        </is>
      </c>
      <c r="I28" s="184" t="inlineStr">
        <is>
          <t>③</t>
        </is>
      </c>
      <c r="J28" s="148" t="inlineStr">
        <is>
          <t>作業終了後の機体の清掃及び燃料補給</t>
        </is>
      </c>
      <c r="K28" s="121" t="n"/>
      <c r="M28" s="184" t="n"/>
    </row>
    <row r="29" ht="17.25" customHeight="1" s="15">
      <c r="A29" s="245" t="n">
        <v>46074</v>
      </c>
      <c r="B29" s="175" t="inlineStr">
        <is>
          <t>走行操作作業</t>
        </is>
      </c>
      <c r="C29" s="244" t="n"/>
      <c r="D29" s="118" t="n">
        <v>1</v>
      </c>
      <c r="E29" s="182" t="inlineStr">
        <is>
          <t>平坦地走行</t>
        </is>
      </c>
      <c r="F29" s="243" t="n"/>
      <c r="G29" s="244" t="n"/>
      <c r="H29" s="126" t="inlineStr">
        <is>
          <t>中原</t>
        </is>
      </c>
      <c r="I29" s="184" t="inlineStr">
        <is>
          <t>2-(4)</t>
        </is>
      </c>
      <c r="J29" s="92" t="inlineStr">
        <is>
          <t>安全衛生業務</t>
        </is>
      </c>
      <c r="K29" s="149" t="n"/>
      <c r="M29" s="184" t="n"/>
    </row>
    <row r="30" ht="17.25" customHeight="1" s="15">
      <c r="A30" s="245" t="n">
        <v>46075</v>
      </c>
      <c r="B30" s="175" t="inlineStr">
        <is>
          <t>休み</t>
        </is>
      </c>
      <c r="C30" s="244" t="n"/>
      <c r="D30" s="118" t="n"/>
      <c r="E30" s="182" t="n"/>
      <c r="F30" s="243" t="n"/>
      <c r="G30" s="244" t="n"/>
      <c r="H30" s="126" t="n"/>
      <c r="I30" s="184" t="inlineStr">
        <is>
          <t>①</t>
        </is>
      </c>
      <c r="J30" s="148" t="inlineStr">
        <is>
          <t>雇入れ時等の安全衛生教育</t>
        </is>
      </c>
      <c r="K30" s="121" t="n"/>
      <c r="M30" s="184" t="n"/>
    </row>
    <row r="31" ht="17.25" customHeight="1" s="15">
      <c r="A31" s="245" t="n">
        <v>46076</v>
      </c>
      <c r="B31" s="175" t="inlineStr">
        <is>
          <t>建設機械の管理及び点検・整備作業</t>
        </is>
      </c>
      <c r="C31" s="244" t="n"/>
      <c r="D31" s="118" t="n">
        <v>3</v>
      </c>
      <c r="E31" s="182" t="inlineStr">
        <is>
          <t>バケット交換</t>
        </is>
      </c>
      <c r="F31" s="243" t="n"/>
      <c r="G31" s="244" t="n"/>
      <c r="H31" s="126" t="inlineStr">
        <is>
          <t>中原</t>
        </is>
      </c>
      <c r="I31" s="184" t="inlineStr">
        <is>
          <t>②</t>
        </is>
      </c>
      <c r="J31" s="148" t="inlineStr">
        <is>
          <t>作業開始前の安全装置等の点検作業</t>
        </is>
      </c>
      <c r="K31" s="149" t="n"/>
      <c r="M31" s="184" t="n"/>
    </row>
    <row r="32" ht="17.25" customHeight="1" s="15">
      <c r="A32" s="245" t="n">
        <v>46077</v>
      </c>
      <c r="B32" s="175" t="inlineStr">
        <is>
          <t>毎日整備</t>
        </is>
      </c>
      <c r="C32" s="244" t="n"/>
      <c r="D32" s="118" t="n">
        <v>1</v>
      </c>
      <c r="E32" s="176" t="inlineStr">
        <is>
          <t>目視点検</t>
        </is>
      </c>
      <c r="F32" s="243" t="n"/>
      <c r="G32" s="244" t="n"/>
      <c r="H32" s="119" t="inlineStr">
        <is>
          <t>中原</t>
        </is>
      </c>
      <c r="I32" s="184" t="inlineStr">
        <is>
          <t>③</t>
        </is>
      </c>
      <c r="J32" s="148" t="inlineStr">
        <is>
          <t>建設機械施工職種に必要な整理整頓作業</t>
        </is>
      </c>
      <c r="K32" s="149" t="n"/>
      <c r="M32" s="184" t="n"/>
    </row>
    <row r="33" ht="17.25" customHeight="1" s="15">
      <c r="A33" s="245" t="n">
        <v>46078</v>
      </c>
      <c r="B33" s="175" t="inlineStr">
        <is>
          <t>始業前点検</t>
        </is>
      </c>
      <c r="C33" s="244" t="n"/>
      <c r="D33" s="118" t="n">
        <v>1</v>
      </c>
      <c r="E33" s="176" t="inlineStr">
        <is>
          <t>備品確認</t>
        </is>
      </c>
      <c r="F33" s="243" t="n"/>
      <c r="G33" s="244" t="n"/>
      <c r="H33" s="119" t="inlineStr">
        <is>
          <t>中原</t>
        </is>
      </c>
      <c r="I33" s="184" t="inlineStr">
        <is>
          <t>④</t>
        </is>
      </c>
      <c r="J33" s="148" t="inlineStr">
        <is>
          <t>建設機械施工職種の作業用機械及び周囲の安全確認作業</t>
        </is>
      </c>
      <c r="K33" s="149" t="n"/>
      <c r="M33" s="184" t="n"/>
    </row>
    <row r="34" ht="17.25" customHeight="1" s="15">
      <c r="A34" s="245" t="n">
        <v>46079</v>
      </c>
      <c r="B34" s="175" t="inlineStr">
        <is>
          <t>掘削作業</t>
        </is>
      </c>
      <c r="C34" s="244" t="n"/>
      <c r="D34" s="118" t="n">
        <v>3</v>
      </c>
      <c r="E34" s="182" t="inlineStr">
        <is>
          <t>補助作業</t>
        </is>
      </c>
      <c r="F34" s="243" t="n"/>
      <c r="G34" s="244" t="n"/>
      <c r="H34" s="126" t="inlineStr">
        <is>
          <t>中原</t>
        </is>
      </c>
      <c r="I34" s="184" t="inlineStr">
        <is>
          <t>⑤</t>
        </is>
      </c>
      <c r="J34" s="148" t="inlineStr">
        <is>
          <t>保護具の着用と服装の安全点検作業</t>
        </is>
      </c>
      <c r="K34" s="149" t="n"/>
      <c r="M34" s="184" t="n"/>
    </row>
    <row r="35" ht="17.25" customHeight="1" s="15">
      <c r="A35" s="245" t="n">
        <v>46080</v>
      </c>
      <c r="B35" s="175" t="inlineStr">
        <is>
          <t>掘削作業</t>
        </is>
      </c>
      <c r="C35" s="244" t="n"/>
      <c r="D35" s="118" t="n">
        <v>1</v>
      </c>
      <c r="E35" s="182" t="inlineStr">
        <is>
          <t>水道掘削</t>
        </is>
      </c>
      <c r="F35" s="243" t="n"/>
      <c r="G35" s="244" t="n"/>
      <c r="H35" s="126" t="inlineStr">
        <is>
          <t>中原</t>
        </is>
      </c>
      <c r="I35" s="184" t="inlineStr">
        <is>
          <t>⑥</t>
        </is>
      </c>
      <c r="J35" s="148" t="inlineStr">
        <is>
          <t>安全装置の使用等による作業</t>
        </is>
      </c>
      <c r="K35" s="149" t="n"/>
      <c r="M35" s="184" t="n"/>
    </row>
    <row r="36" ht="17.25" customHeight="1" s="15">
      <c r="A36" s="245" t="n">
        <v>46081</v>
      </c>
      <c r="B36" s="175" t="inlineStr">
        <is>
          <t>土砂積込み作業</t>
        </is>
      </c>
      <c r="C36" s="244" t="n"/>
      <c r="D36" s="118" t="n">
        <v>1</v>
      </c>
      <c r="E36" s="182" t="inlineStr">
        <is>
          <t>安全確認</t>
        </is>
      </c>
      <c r="F36" s="243" t="n"/>
      <c r="G36" s="244" t="n"/>
      <c r="H36" s="126" t="inlineStr">
        <is>
          <t>中原</t>
        </is>
      </c>
      <c r="I36" s="184" t="inlineStr">
        <is>
          <t>⑦</t>
        </is>
      </c>
      <c r="J36" s="148" t="inlineStr">
        <is>
          <t>労働安全衛生上の有害性を防止するための作業</t>
        </is>
      </c>
      <c r="K36" s="149" t="n"/>
      <c r="M36" s="184" t="n"/>
    </row>
    <row r="37" ht="17.25" customHeight="1" s="15">
      <c r="A37" s="245" t="n"/>
      <c r="B37" s="175" t="n"/>
      <c r="C37" s="244" t="n"/>
      <c r="D37" s="118" t="n"/>
      <c r="E37" s="182" t="n"/>
      <c r="F37" s="243" t="n"/>
      <c r="G37" s="244" t="n"/>
      <c r="H37" s="126" t="n"/>
      <c r="I37" s="184" t="inlineStr">
        <is>
          <t>⑧</t>
        </is>
      </c>
      <c r="J37" s="148" t="inlineStr">
        <is>
          <t>異常時の応急措置を習得するための作業</t>
        </is>
      </c>
      <c r="K37" s="149" t="n"/>
      <c r="M37" s="184" t="n"/>
    </row>
    <row r="38" ht="17.25" customHeight="1" s="15">
      <c r="A38" s="245" t="n"/>
      <c r="B38" s="175" t="n"/>
      <c r="C38" s="244" t="n"/>
      <c r="D38" s="118" t="n"/>
      <c r="E38" s="182" t="n"/>
      <c r="F38" s="243" t="n"/>
      <c r="G38" s="244" t="n"/>
      <c r="H38" s="126" t="n"/>
      <c r="I38" s="184" t="inlineStr">
        <is>
          <t>3①</t>
        </is>
      </c>
      <c r="J38" s="148" t="inlineStr">
        <is>
          <t>押土整地作業</t>
        </is>
      </c>
      <c r="K38" s="149" t="n"/>
      <c r="M38" s="16" t="n">
        <v>3</v>
      </c>
    </row>
    <row r="39" ht="17.25" customHeight="1" s="15">
      <c r="A39" s="245" t="n"/>
      <c r="B39" s="175" t="n"/>
      <c r="C39" s="244" t="n"/>
      <c r="D39" s="118" t="n"/>
      <c r="E39" s="182" t="n"/>
      <c r="F39" s="243" t="n"/>
      <c r="G39" s="244" t="n"/>
      <c r="H39" s="126" t="n"/>
      <c r="I39" s="184" t="inlineStr">
        <is>
          <t>②</t>
        </is>
      </c>
      <c r="J39" s="92" t="inlineStr">
        <is>
          <t>積込み作業</t>
        </is>
      </c>
      <c r="K39" s="121" t="n"/>
      <c r="M39" s="184" t="n"/>
    </row>
    <row r="40" ht="13.5" customHeight="1" s="15">
      <c r="A40" s="94" t="inlineStr">
        <is>
          <t>(注意)</t>
        </is>
      </c>
      <c r="B40" s="92" t="n"/>
      <c r="C40" s="92" t="n"/>
      <c r="D40" s="92" t="n"/>
      <c r="E40" s="92" t="n"/>
      <c r="F40" s="92" t="n"/>
      <c r="G40" s="92" t="n"/>
      <c r="H40" s="92" t="n"/>
      <c r="I40" s="184" t="inlineStr">
        <is>
          <t>③</t>
        </is>
      </c>
      <c r="J40" s="92" t="inlineStr">
        <is>
          <t>締固め作業</t>
        </is>
      </c>
      <c r="K40" s="92" t="n"/>
    </row>
    <row r="41" ht="13.5" customHeight="1" s="15">
      <c r="A41" s="92" t="inlineStr">
        <is>
          <t xml:space="preserve">　　　　1　技能実習の区分、技能実習の期間、技能実習生に行わせる業務等が異なる場合は、分けて作成すること。</t>
        </is>
      </c>
      <c r="B41" s="92" t="n"/>
      <c r="C41" s="92" t="n"/>
      <c r="D41" s="92" t="n"/>
      <c r="E41" s="92" t="n"/>
      <c r="F41" s="92" t="n"/>
      <c r="G41" s="92" t="n"/>
      <c r="H41" s="92" t="n"/>
      <c r="I41" s="184" t="inlineStr">
        <is>
          <t>④</t>
        </is>
      </c>
      <c r="J41" s="92" t="inlineStr">
        <is>
          <t>建設機械施工管理作業</t>
        </is>
      </c>
      <c r="K41" s="92" t="n"/>
    </row>
    <row r="42" ht="13.5" customHeight="1" s="15">
      <c r="A42" s="92" t="inlineStr">
        <is>
          <t xml:space="preserve">　　　　2　技能実習生に従事させた業務の欄の右欄は、技能実習計画の実習実施予定表(別記様式第1号第4面から第6面まで)</t>
        </is>
      </c>
      <c r="B42" s="92" t="n"/>
      <c r="C42" s="92" t="n"/>
      <c r="D42" s="92" t="n"/>
      <c r="E42" s="92" t="n"/>
      <c r="F42" s="92" t="n"/>
      <c r="G42" s="92" t="n"/>
      <c r="H42" s="92" t="n"/>
      <c r="I42" s="184" t="inlineStr">
        <is>
          <t>⑤</t>
        </is>
      </c>
      <c r="J42" s="92" t="inlineStr">
        <is>
          <t>土工作業(対象職種・作業に係る手作業の作業）</t>
        </is>
      </c>
      <c r="K42" s="92" t="n"/>
    </row>
    <row r="43" ht="13.5" customHeight="1" s="15">
      <c r="A43" s="92" t="inlineStr">
        <is>
          <t xml:space="preserve">　　　　　の技能実習の内容欄の番号を記載すること。</t>
        </is>
      </c>
      <c r="B43" s="92" t="n"/>
      <c r="C43" s="92" t="n"/>
      <c r="D43" s="92" t="n"/>
      <c r="E43" s="92" t="n"/>
      <c r="F43" s="92" t="n"/>
      <c r="G43" s="92" t="n"/>
      <c r="H43" s="92" t="n"/>
      <c r="I43" s="184" t="inlineStr">
        <is>
          <t>⑥</t>
        </is>
      </c>
      <c r="J43" s="148" t="inlineStr">
        <is>
          <t>建設機械の管理及び点検・整備作業</t>
        </is>
      </c>
      <c r="K43" s="148" t="n"/>
    </row>
    <row r="44" ht="18" customHeight="1" s="15">
      <c r="I44" s="184" t="inlineStr">
        <is>
          <t>⑦</t>
        </is>
      </c>
      <c r="J44" s="92" t="inlineStr">
        <is>
          <t>各種揚重運搬機械の運転作業</t>
        </is>
      </c>
      <c r="K44" s="92" t="n"/>
    </row>
    <row r="45" ht="18" customHeight="1" s="15">
      <c r="I45" s="184" t="inlineStr">
        <is>
          <t>⑧</t>
        </is>
      </c>
      <c r="J45" s="148" t="inlineStr">
        <is>
          <t>玉掛け作業(特別教育又は技能講習が必要）</t>
        </is>
      </c>
    </row>
    <row r="46" ht="18" customHeight="1" s="15">
      <c r="I46" s="184" t="n">
        <v>5</v>
      </c>
      <c r="J46" s="148" t="inlineStr">
        <is>
          <t>建設機械の移送車両への積載及び移送作業</t>
        </is>
      </c>
    </row>
    <row r="47" ht="18" customHeight="1" s="15">
      <c r="J47" s="92" t="inlineStr">
        <is>
          <t>休み</t>
        </is>
      </c>
    </row>
  </sheetData>
  <mergeCells count="105">
    <mergeCell ref="E13:G13"/>
    <mergeCell ref="E31:G31"/>
    <mergeCell ref="B22:C22"/>
    <mergeCell ref="B31:C31"/>
    <mergeCell ref="E15:G15"/>
    <mergeCell ref="B12:C12"/>
    <mergeCell ref="B21:C21"/>
    <mergeCell ref="C4:G4"/>
    <mergeCell ref="M35:N35"/>
    <mergeCell ref="M10:N10"/>
    <mergeCell ref="E26:G26"/>
    <mergeCell ref="B14:C14"/>
    <mergeCell ref="M16:N16"/>
    <mergeCell ref="B13:C13"/>
    <mergeCell ref="E16:G16"/>
    <mergeCell ref="B38:C38"/>
    <mergeCell ref="M25:N25"/>
    <mergeCell ref="M36:N36"/>
    <mergeCell ref="E18:G18"/>
    <mergeCell ref="M33:N33"/>
    <mergeCell ref="M18:N18"/>
    <mergeCell ref="M8:N8"/>
    <mergeCell ref="M17:N17"/>
    <mergeCell ref="B24:C24"/>
    <mergeCell ref="B33:C33"/>
    <mergeCell ref="E35:G35"/>
    <mergeCell ref="B32:C32"/>
    <mergeCell ref="M19:N19"/>
    <mergeCell ref="B26:C26"/>
    <mergeCell ref="B35:C35"/>
    <mergeCell ref="E20:G20"/>
    <mergeCell ref="R1:V1"/>
    <mergeCell ref="E28:G28"/>
    <mergeCell ref="B16:C16"/>
    <mergeCell ref="B25:C25"/>
    <mergeCell ref="B8:D8"/>
    <mergeCell ref="R10:S10"/>
    <mergeCell ref="E30:G30"/>
    <mergeCell ref="B27:C27"/>
    <mergeCell ref="B18:C18"/>
    <mergeCell ref="E6:G6"/>
    <mergeCell ref="B11:C11"/>
    <mergeCell ref="M13:N13"/>
    <mergeCell ref="E32:G32"/>
    <mergeCell ref="M21:N21"/>
    <mergeCell ref="B29:C29"/>
    <mergeCell ref="D5:F5"/>
    <mergeCell ref="B37:C37"/>
    <mergeCell ref="M27:N27"/>
    <mergeCell ref="E24:G24"/>
    <mergeCell ref="M24:N24"/>
    <mergeCell ref="E33:G33"/>
    <mergeCell ref="B15:C15"/>
    <mergeCell ref="E8:G8"/>
    <mergeCell ref="E17:G17"/>
    <mergeCell ref="U10:V10"/>
    <mergeCell ref="E10:G10"/>
    <mergeCell ref="E19:G19"/>
    <mergeCell ref="M34:N34"/>
    <mergeCell ref="E34:G34"/>
    <mergeCell ref="E9:G9"/>
    <mergeCell ref="M9:N9"/>
    <mergeCell ref="M39:N39"/>
    <mergeCell ref="E36:G36"/>
    <mergeCell ref="E11:G11"/>
    <mergeCell ref="M11:N11"/>
    <mergeCell ref="T13:V13"/>
    <mergeCell ref="B17:C17"/>
    <mergeCell ref="M31:N31"/>
    <mergeCell ref="M15:N15"/>
    <mergeCell ref="E22:G22"/>
    <mergeCell ref="M12:N12"/>
    <mergeCell ref="U21:V21"/>
    <mergeCell ref="M37:N37"/>
    <mergeCell ref="E37:G37"/>
    <mergeCell ref="B34:C34"/>
    <mergeCell ref="B19:C19"/>
    <mergeCell ref="B28:C28"/>
    <mergeCell ref="E12:G12"/>
    <mergeCell ref="E21:G21"/>
    <mergeCell ref="B9:C9"/>
    <mergeCell ref="M26:N26"/>
    <mergeCell ref="B30:C30"/>
    <mergeCell ref="E14:G14"/>
    <mergeCell ref="M29:N29"/>
    <mergeCell ref="E23:G23"/>
    <mergeCell ref="M23:N23"/>
    <mergeCell ref="B20:C20"/>
    <mergeCell ref="B39:C39"/>
    <mergeCell ref="M20:N20"/>
    <mergeCell ref="E27:G27"/>
    <mergeCell ref="B23:C23"/>
    <mergeCell ref="E25:G25"/>
    <mergeCell ref="R21:S21"/>
    <mergeCell ref="M22:N22"/>
    <mergeCell ref="M30:N30"/>
    <mergeCell ref="R12:V12"/>
    <mergeCell ref="M28:N28"/>
    <mergeCell ref="B10:C10"/>
    <mergeCell ref="M32:N32"/>
    <mergeCell ref="E39:G39"/>
    <mergeCell ref="M14:N14"/>
    <mergeCell ref="B36:C36"/>
    <mergeCell ref="E29:G29"/>
    <mergeCell ref="E38:G3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ColWidth="8.5" defaultRowHeight="18"/>
  <cols>
    <col width="10.3984375" customWidth="1" style="15" min="1" max="1"/>
    <col width="6.8984375" customWidth="1" style="15" min="3" max="3"/>
    <col width="6" customWidth="1" style="15" min="4" max="4"/>
    <col width="10.59765625" customWidth="1" style="15" min="5" max="5"/>
    <col width="9" customWidth="1" style="15" min="6" max="6"/>
    <col width="15.3984375" customWidth="1" style="15" min="7" max="7"/>
    <col width="12" customWidth="1" style="15" min="8" max="8"/>
    <col width="6" customWidth="1" style="15" min="9" max="9"/>
    <col width="6.8984375" customWidth="1" style="15" min="11" max="11"/>
    <col width="6" customWidth="1" style="15" min="12" max="12"/>
    <col width="5" customWidth="1" style="15" min="18" max="18"/>
    <col width="9" customWidth="1" style="15" min="19" max="20"/>
    <col width="8" customWidth="1" style="15" min="21" max="21"/>
    <col width="14" customWidth="1" style="15" min="22" max="22"/>
  </cols>
  <sheetData>
    <row r="1" ht="10.5" customHeight="1" s="15">
      <c r="A1" s="92" t="inlineStr">
        <is>
          <t>参考様式第4－2号別紙(規則第22号第1項第3号関係)</t>
        </is>
      </c>
      <c r="G1" s="93" t="n"/>
      <c r="H1" s="94" t="inlineStr">
        <is>
          <t>(日本工業規格A列4）</t>
        </is>
      </c>
      <c r="R1" s="168" t="inlineStr">
        <is>
          <t>【月次 時間数 進捗モニター】</t>
        </is>
      </c>
    </row>
    <row r="2" ht="12.75" customHeight="1" s="15">
      <c r="A2" s="95" t="inlineStr">
        <is>
          <t>A・B・C・D・E・F</t>
        </is>
      </c>
    </row>
    <row r="3" ht="18" customHeight="1" s="15">
      <c r="R3" s="96" t="inlineStr">
        <is>
          <t>番号</t>
        </is>
      </c>
      <c r="S3" s="96" t="inlineStr">
        <is>
          <t>必要時間</t>
        </is>
      </c>
      <c r="T3" s="96" t="inlineStr">
        <is>
          <t>実績時間</t>
        </is>
      </c>
      <c r="U3" s="96" t="inlineStr">
        <is>
          <t>達成率</t>
        </is>
      </c>
      <c r="V3" s="96" t="inlineStr">
        <is>
          <t>状態</t>
        </is>
      </c>
    </row>
    <row r="4" ht="18.75" customHeight="1" s="15">
      <c r="C4" s="169" t="inlineStr">
        <is>
          <t xml:space="preserve">　　　技　　能　　実　　習　　日　　誌</t>
        </is>
      </c>
      <c r="R4" s="97" t="n">
        <v>1</v>
      </c>
      <c r="S4" s="201" t="n">
        <v>90</v>
      </c>
      <c r="T4" s="204">
        <f>COUNTIF($D$9:$D$39,1)*8</f>
        <v/>
      </c>
      <c r="U4" s="98">
        <f>T4/S4</f>
        <v/>
      </c>
      <c r="V4" s="99">
        <f>IF(T4&gt;=S4,"✓ 達成","△ あと "&amp;TEXT(S4-T4,"0")&amp;"時間")</f>
        <v/>
      </c>
    </row>
    <row r="5" ht="18.75" customHeight="1" s="15">
      <c r="D5" s="170" t="inlineStr">
        <is>
          <t>（　　　2026　　年　　3　　月分）</t>
        </is>
      </c>
      <c r="R5" s="100" t="n">
        <v>2</v>
      </c>
      <c r="S5" s="207" t="n">
        <v>10</v>
      </c>
      <c r="T5" s="210">
        <f>COUNTIF($D$9:$D$39,2)*8</f>
        <v/>
      </c>
      <c r="U5" s="101">
        <f>T5/S5</f>
        <v/>
      </c>
      <c r="V5" s="102">
        <f>IF(T5&gt;=S5,"✓ 達成","△ あと "&amp;TEXT(S5-T5,"0")&amp;"時間")</f>
        <v/>
      </c>
    </row>
    <row r="6" ht="18.75" customHeight="1" s="15">
      <c r="E6" s="171" t="inlineStr">
        <is>
          <t xml:space="preserve">　　　　　　氏名　ヨザ</t>
        </is>
      </c>
      <c r="F6" s="242" t="n"/>
      <c r="G6" s="242" t="n"/>
      <c r="R6" s="103" t="n">
        <v>3</v>
      </c>
      <c r="S6" s="213" t="n">
        <v>44</v>
      </c>
      <c r="T6" s="216">
        <f>COUNTIF($D$9:$D$39,3)*8</f>
        <v/>
      </c>
      <c r="U6" s="104">
        <f>T6/S6</f>
        <v/>
      </c>
      <c r="V6" s="105">
        <f>IF(T6&gt;=S6,"✓ 達成","△ あと "&amp;TEXT(S6-T6,"0")&amp;"時間")</f>
        <v/>
      </c>
    </row>
    <row r="7" ht="18.75" customHeight="1" s="15">
      <c r="A7" s="106" t="inlineStr">
        <is>
          <t>(対象:別紙｢技能実習生一覧表｣のとおり)</t>
        </is>
      </c>
      <c r="R7" s="107" t="n">
        <v>4</v>
      </c>
      <c r="S7" s="219" t="n">
        <v>8</v>
      </c>
      <c r="T7" s="222">
        <f>COUNTIF($D$9:$D$39,4)*8</f>
        <v/>
      </c>
      <c r="U7" s="108">
        <f>T7/S7</f>
        <v/>
      </c>
      <c r="V7" s="109">
        <f>IF(T7&gt;=S7,"✓ 達成","△ あと "&amp;TEXT(S7-T7,"0")&amp;"時間")</f>
        <v/>
      </c>
    </row>
    <row r="8" ht="18.75" customHeight="1" s="15">
      <c r="A8" s="172" t="inlineStr">
        <is>
          <t>日付</t>
        </is>
      </c>
      <c r="B8" s="172" t="inlineStr">
        <is>
          <t>技能実習生に従事させた業務</t>
        </is>
      </c>
      <c r="C8" s="243" t="n"/>
      <c r="D8" s="244" t="n"/>
      <c r="E8" s="173" t="inlineStr">
        <is>
          <t>技能実習生に対する指導の内容</t>
        </is>
      </c>
      <c r="F8" s="243" t="n"/>
      <c r="G8" s="244" t="n"/>
      <c r="H8" s="173" t="inlineStr">
        <is>
          <t>指導者氏名</t>
        </is>
      </c>
      <c r="J8" s="112" t="inlineStr">
        <is>
          <t>従事させた業務</t>
        </is>
      </c>
      <c r="K8" s="113" t="n"/>
      <c r="M8" s="174" t="n"/>
      <c r="R8" s="114" t="n">
        <v>5</v>
      </c>
      <c r="S8" s="225" t="n">
        <v>15</v>
      </c>
      <c r="T8" s="228">
        <f>COUNTIF($D$9:$D$39,5)*8</f>
        <v/>
      </c>
      <c r="U8" s="115">
        <f>T8/S8</f>
        <v/>
      </c>
      <c r="V8" s="116">
        <f>IF(T8&gt;=S8,"✓ 達成","△ あと "&amp;TEXT(S8-T8,"0")&amp;"時間")</f>
        <v/>
      </c>
    </row>
    <row r="9" ht="18.75" customHeight="1" s="15">
      <c r="A9" s="245" t="n">
        <v>46082</v>
      </c>
      <c r="B9" s="175" t="inlineStr">
        <is>
          <t>休み</t>
        </is>
      </c>
      <c r="C9" s="244" t="n"/>
      <c r="D9" s="118" t="n"/>
      <c r="E9" s="176" t="n"/>
      <c r="F9" s="243" t="n"/>
      <c r="G9" s="244" t="n"/>
      <c r="H9" s="119" t="n"/>
      <c r="I9" s="184" t="inlineStr">
        <is>
          <t>1-(1)</t>
        </is>
      </c>
      <c r="J9" s="92" t="inlineStr">
        <is>
          <t>走行操作作業</t>
        </is>
      </c>
      <c r="K9" s="121" t="n"/>
      <c r="L9" s="184" t="n"/>
      <c r="M9" s="174" t="n"/>
      <c r="R9" s="122" t="n">
        <v>6</v>
      </c>
      <c r="S9" s="231" t="n">
        <v>8</v>
      </c>
      <c r="T9" s="234">
        <f>COUNTIF($D$9:$D$39,6)*8</f>
        <v/>
      </c>
      <c r="U9" s="123">
        <f>T9/S9</f>
        <v/>
      </c>
      <c r="V9" s="124">
        <f>IF(T9&gt;=S9,"✓ 達成","△ あと "&amp;TEXT(S9-T9,"0")&amp;"時間")</f>
        <v/>
      </c>
    </row>
    <row r="10" ht="21.75" customHeight="1" s="15">
      <c r="A10" s="245" t="n">
        <v>46083</v>
      </c>
      <c r="B10" s="175" t="inlineStr">
        <is>
          <t>掘削作業</t>
        </is>
      </c>
      <c r="C10" s="244" t="n"/>
      <c r="D10" s="184" t="n">
        <v>1</v>
      </c>
      <c r="E10" s="176" t="inlineStr">
        <is>
          <t>マンホール布設</t>
        </is>
      </c>
      <c r="F10" s="243" t="n"/>
      <c r="G10" s="244" t="n"/>
      <c r="H10" s="119" t="inlineStr">
        <is>
          <t>中原</t>
        </is>
      </c>
      <c r="I10" s="184" t="inlineStr">
        <is>
          <t>①</t>
        </is>
      </c>
      <c r="J10" s="92" t="inlineStr">
        <is>
          <t>発進操作</t>
        </is>
      </c>
      <c r="K10" s="121" t="n"/>
      <c r="L10" s="184" t="n"/>
      <c r="M10" s="174" t="n"/>
      <c r="R10" s="177" t="inlineStr">
        <is>
          <t>合計実績</t>
        </is>
      </c>
      <c r="S10" s="194" t="n"/>
      <c r="T10" s="246">
        <f>SUM(T4:T9)</f>
        <v/>
      </c>
      <c r="U10" s="178">
        <f>IF(T10&gt;=175,"✓ 全番号クリア可能","△ まだ不足あり")</f>
        <v/>
      </c>
      <c r="V10" s="194" t="n"/>
    </row>
    <row r="11" ht="17.25" customHeight="1" s="15">
      <c r="A11" s="245" t="n">
        <v>46084</v>
      </c>
      <c r="B11" s="175" t="inlineStr">
        <is>
          <t>安全衛生業務</t>
        </is>
      </c>
      <c r="C11" s="244" t="n"/>
      <c r="D11" s="118" t="n">
        <v>4</v>
      </c>
      <c r="E11" s="176" t="inlineStr">
        <is>
          <t>荷物搬入</t>
        </is>
      </c>
      <c r="F11" s="243" t="n"/>
      <c r="G11" s="244" t="n"/>
      <c r="H11" s="119" t="inlineStr">
        <is>
          <t>中原</t>
        </is>
      </c>
      <c r="I11" s="184" t="inlineStr">
        <is>
          <t>②</t>
        </is>
      </c>
      <c r="J11" s="92" t="inlineStr">
        <is>
          <t>平坦地走行操作</t>
        </is>
      </c>
      <c r="K11" s="121" t="n"/>
      <c r="L11" s="184" t="n"/>
      <c r="M11" s="174" t="n"/>
    </row>
    <row r="12" ht="21.75" customHeight="1" s="15">
      <c r="A12" s="245" t="n">
        <v>46085</v>
      </c>
      <c r="B12" s="175" t="inlineStr">
        <is>
          <t>建設機械の移送車両への積載及び移送作業</t>
        </is>
      </c>
      <c r="C12" s="244" t="n"/>
      <c r="D12" s="118" t="n">
        <v>5</v>
      </c>
      <c r="E12" s="179" t="inlineStr">
        <is>
          <t>声出し誘導</t>
        </is>
      </c>
      <c r="F12" s="243" t="n"/>
      <c r="G12" s="244" t="n"/>
      <c r="H12" s="119" t="inlineStr">
        <is>
          <t>中原</t>
        </is>
      </c>
      <c r="I12" s="184" t="inlineStr">
        <is>
          <t>③</t>
        </is>
      </c>
      <c r="J12" s="92" t="inlineStr">
        <is>
          <t>登坂操作</t>
        </is>
      </c>
      <c r="K12" s="121" t="n"/>
      <c r="L12" s="184" t="n"/>
      <c r="M12" s="180" t="n"/>
      <c r="R12" s="181" t="inlineStr">
        <is>
          <t>【翌月 振り分け提案】　出勤日数を入力 ↓</t>
        </is>
      </c>
    </row>
    <row r="13" ht="17.25" customHeight="1" s="15">
      <c r="A13" s="245" t="n">
        <v>46086</v>
      </c>
      <c r="B13" s="175" t="inlineStr">
        <is>
          <t>掘削作業</t>
        </is>
      </c>
      <c r="C13" s="244" t="n"/>
      <c r="D13" s="118" t="n">
        <v>3</v>
      </c>
      <c r="E13" s="182" t="inlineStr">
        <is>
          <t>手元作業</t>
        </is>
      </c>
      <c r="F13" s="243" t="n"/>
      <c r="G13" s="244" t="n"/>
      <c r="H13" s="126" t="inlineStr">
        <is>
          <t>中原</t>
        </is>
      </c>
      <c r="I13" s="184" t="inlineStr">
        <is>
          <t>④</t>
        </is>
      </c>
      <c r="J13" s="92" t="inlineStr">
        <is>
          <t>降坂操作</t>
        </is>
      </c>
      <c r="K13" s="121" t="n"/>
      <c r="L13" s="184" t="n"/>
      <c r="M13" s="174" t="n"/>
      <c r="R13" s="127" t="inlineStr">
        <is>
          <t>出勤日数 →</t>
        </is>
      </c>
      <c r="S13" s="196" t="n">
        <v>22</v>
      </c>
      <c r="T13" s="183">
        <f>IF(S13&gt;=24,"✓ 必要日数(24日)をクリアできます","⚠ 最低24日必要です")</f>
        <v/>
      </c>
      <c r="U13" s="194" t="n"/>
      <c r="V13" s="194" t="n"/>
    </row>
    <row r="14" ht="18" customHeight="1" s="15">
      <c r="A14" s="245" t="n">
        <v>46087</v>
      </c>
      <c r="B14" s="175" t="inlineStr">
        <is>
          <t>土砂積込み作業</t>
        </is>
      </c>
      <c r="C14" s="244" t="n"/>
      <c r="D14" s="118" t="n">
        <v>1</v>
      </c>
      <c r="E14" s="182" t="inlineStr">
        <is>
          <t>周囲の確認</t>
        </is>
      </c>
      <c r="F14" s="243" t="n"/>
      <c r="G14" s="244" t="n"/>
      <c r="H14" s="126" t="inlineStr">
        <is>
          <t>中原</t>
        </is>
      </c>
      <c r="I14" s="184" t="inlineStr">
        <is>
          <t>⑤</t>
        </is>
      </c>
      <c r="J14" s="92" t="inlineStr">
        <is>
          <t>停止操作</t>
        </is>
      </c>
      <c r="K14" s="121" t="n"/>
      <c r="L14" s="184" t="n"/>
      <c r="M14" s="184" t="n"/>
      <c r="R14" s="128" t="inlineStr">
        <is>
          <t>番号</t>
        </is>
      </c>
      <c r="S14" s="128" t="inlineStr">
        <is>
          <t>必要日数</t>
        </is>
      </c>
      <c r="T14" s="128" t="inlineStr">
        <is>
          <t>推奨割当日</t>
        </is>
      </c>
      <c r="U14" s="128" t="inlineStr">
        <is>
          <t>今月残り日</t>
        </is>
      </c>
      <c r="V14" s="128" t="inlineStr">
        <is>
          <t>代表業務</t>
        </is>
      </c>
    </row>
    <row r="15" ht="18" customHeight="1" s="15">
      <c r="A15" s="245" t="n">
        <v>46088</v>
      </c>
      <c r="B15" s="175" t="inlineStr">
        <is>
          <t>休み</t>
        </is>
      </c>
      <c r="C15" s="244" t="n"/>
      <c r="D15" s="184" t="n"/>
      <c r="E15" s="182" t="n"/>
      <c r="F15" s="243" t="n"/>
      <c r="G15" s="244" t="n"/>
      <c r="H15" s="126" t="n"/>
      <c r="I15" s="184" t="inlineStr">
        <is>
          <t>⑥</t>
        </is>
      </c>
      <c r="J15" s="92" t="inlineStr">
        <is>
          <t>下車操作</t>
        </is>
      </c>
      <c r="K15" s="121" t="n"/>
      <c r="M15" s="184" t="n"/>
      <c r="R15" s="97" t="n">
        <v>1</v>
      </c>
      <c r="S15" s="247" t="n">
        <v>12</v>
      </c>
      <c r="T15" s="248">
        <f>ROUND($S$13*12/24,0)</f>
        <v/>
      </c>
      <c r="U15" s="202">
        <f>MAX(0,12-COUNTIF($D$9:$D$39,1))</f>
        <v/>
      </c>
      <c r="V15" s="131" t="inlineStr">
        <is>
          <t>掘削・積込・走行</t>
        </is>
      </c>
    </row>
    <row r="16" ht="18" customHeight="1" s="15">
      <c r="A16" s="245" t="n">
        <v>46089</v>
      </c>
      <c r="B16" s="175" t="inlineStr">
        <is>
          <t>休み</t>
        </is>
      </c>
      <c r="C16" s="244" t="n"/>
      <c r="D16" s="118" t="n"/>
      <c r="E16" s="182" t="n"/>
      <c r="F16" s="243" t="n"/>
      <c r="G16" s="244" t="n"/>
      <c r="H16" s="126" t="n"/>
      <c r="I16" s="184" t="inlineStr">
        <is>
          <t>1-(2)</t>
        </is>
      </c>
      <c r="J16" s="92" t="inlineStr">
        <is>
          <t>掘削作業</t>
        </is>
      </c>
      <c r="K16" s="121" t="n"/>
      <c r="M16" s="184" t="n"/>
      <c r="R16" s="100" t="n">
        <v>2</v>
      </c>
      <c r="S16" s="249" t="n">
        <v>2</v>
      </c>
      <c r="T16" s="250">
        <f>ROUND($S$13*2/24,0)</f>
        <v/>
      </c>
      <c r="U16" s="208">
        <f>MAX(0,2-COUNTIF($D$9:$D$39,2))</f>
        <v/>
      </c>
      <c r="V16" s="134" t="inlineStr">
        <is>
          <t>点検・整理</t>
        </is>
      </c>
    </row>
    <row r="17" ht="18" customHeight="1" s="15">
      <c r="A17" s="245" t="n">
        <v>46090</v>
      </c>
      <c r="B17" s="175" t="inlineStr">
        <is>
          <t>締固め作業</t>
        </is>
      </c>
      <c r="C17" s="244" t="n"/>
      <c r="D17" s="118" t="n">
        <v>3</v>
      </c>
      <c r="E17" s="185" t="inlineStr">
        <is>
          <t>ランマ転圧</t>
        </is>
      </c>
      <c r="F17" s="243" t="n"/>
      <c r="G17" s="244" t="n"/>
      <c r="H17" s="126" t="inlineStr">
        <is>
          <t>中原</t>
        </is>
      </c>
      <c r="I17" s="184" t="inlineStr">
        <is>
          <t>①</t>
        </is>
      </c>
      <c r="J17" s="92" t="inlineStr">
        <is>
          <t>溝掘削作業</t>
        </is>
      </c>
      <c r="K17" s="121" t="n"/>
      <c r="M17" s="184" t="n"/>
      <c r="R17" s="103" t="n">
        <v>3</v>
      </c>
      <c r="S17" s="251" t="n">
        <v>6</v>
      </c>
      <c r="T17" s="252">
        <f>ROUND($S$13*6/24,0)</f>
        <v/>
      </c>
      <c r="U17" s="214">
        <f>MAX(0,6-COUNTIF($D$9:$D$39,3))</f>
        <v/>
      </c>
      <c r="V17" s="137" t="inlineStr">
        <is>
          <t>掘削・締固・土工</t>
        </is>
      </c>
    </row>
    <row r="18" ht="18" customHeight="1" s="15">
      <c r="A18" s="245" t="n">
        <v>46091</v>
      </c>
      <c r="B18" s="175" t="inlineStr">
        <is>
          <t>走行操作作業</t>
        </is>
      </c>
      <c r="C18" s="244" t="n"/>
      <c r="D18" s="118" t="n">
        <v>1</v>
      </c>
      <c r="E18" s="176" t="inlineStr">
        <is>
          <t>登坂操作</t>
        </is>
      </c>
      <c r="F18" s="243" t="n"/>
      <c r="G18" s="244" t="n"/>
      <c r="H18" s="119" t="inlineStr">
        <is>
          <t>中原</t>
        </is>
      </c>
      <c r="I18" s="184" t="inlineStr">
        <is>
          <t>②</t>
        </is>
      </c>
      <c r="J18" s="92" t="inlineStr">
        <is>
          <t>建築物の基礎掘削作業</t>
        </is>
      </c>
      <c r="K18" s="121" t="n"/>
      <c r="M18" s="184" t="n"/>
      <c r="R18" s="107" t="n">
        <v>4</v>
      </c>
      <c r="S18" s="253" t="n">
        <v>1</v>
      </c>
      <c r="T18" s="254">
        <f>ROUND($S$13*1/24,0)</f>
        <v/>
      </c>
      <c r="U18" s="220">
        <f>MAX(0,1-COUNTIF($D$9:$D$39,4))</f>
        <v/>
      </c>
      <c r="V18" s="140" t="inlineStr">
        <is>
          <t>安全衛生・機械管理</t>
        </is>
      </c>
    </row>
    <row r="19" ht="18" customHeight="1" s="15">
      <c r="A19" s="245" t="n">
        <v>46092</v>
      </c>
      <c r="B19" s="175" t="inlineStr">
        <is>
          <t>毎日整備</t>
        </is>
      </c>
      <c r="C19" s="244" t="n"/>
      <c r="D19" s="118" t="n">
        <v>1</v>
      </c>
      <c r="E19" s="176" t="inlineStr">
        <is>
          <t>清掃作業</t>
        </is>
      </c>
      <c r="F19" s="243" t="n"/>
      <c r="G19" s="244" t="n"/>
      <c r="H19" s="119" t="inlineStr">
        <is>
          <t>中原</t>
        </is>
      </c>
      <c r="I19" s="184" t="inlineStr">
        <is>
          <t>③</t>
        </is>
      </c>
      <c r="J19" s="92" t="inlineStr">
        <is>
          <t>地表面の浅い掘削作業</t>
        </is>
      </c>
      <c r="K19" s="121" t="n"/>
      <c r="M19" s="184" t="n"/>
      <c r="R19" s="114" t="n">
        <v>5</v>
      </c>
      <c r="S19" s="255" t="n">
        <v>2</v>
      </c>
      <c r="T19" s="256">
        <f>ROUND($S$13*2/24,0)</f>
        <v/>
      </c>
      <c r="U19" s="226">
        <f>MAX(0,2-COUNTIF($D$9:$D$39,5))</f>
        <v/>
      </c>
      <c r="V19" s="143" t="inlineStr">
        <is>
          <t>機械移送</t>
        </is>
      </c>
    </row>
    <row r="20" ht="18" customHeight="1" s="15">
      <c r="A20" s="245" t="n">
        <v>46093</v>
      </c>
      <c r="B20" s="175" t="inlineStr">
        <is>
          <t>土工作業(対象職種・作業に係る手作業の作業）</t>
        </is>
      </c>
      <c r="C20" s="244" t="n"/>
      <c r="D20" s="118" t="n">
        <v>3</v>
      </c>
      <c r="E20" s="182" t="inlineStr">
        <is>
          <t>補助作業</t>
        </is>
      </c>
      <c r="F20" s="243" t="n"/>
      <c r="G20" s="244" t="n"/>
      <c r="H20" s="126" t="inlineStr">
        <is>
          <t>中原</t>
        </is>
      </c>
      <c r="I20" s="184" t="inlineStr">
        <is>
          <t>④</t>
        </is>
      </c>
      <c r="J20" s="92" t="inlineStr">
        <is>
          <t>法面の切取り仕上げ作業</t>
        </is>
      </c>
      <c r="K20" s="121" t="n"/>
      <c r="M20" s="184" t="n"/>
      <c r="R20" s="122" t="n">
        <v>6</v>
      </c>
      <c r="S20" s="257" t="n">
        <v>1</v>
      </c>
      <c r="T20" s="258">
        <f>ROUND($S$13*1/24,0)</f>
        <v/>
      </c>
      <c r="U20" s="232">
        <f>MAX(0,1-COUNTIF($D$9:$D$39,6))</f>
        <v/>
      </c>
      <c r="V20" s="146" t="inlineStr">
        <is>
          <t>安全訓練</t>
        </is>
      </c>
    </row>
    <row r="21" ht="21.75" customHeight="1" s="15">
      <c r="A21" s="245" t="n">
        <v>46094</v>
      </c>
      <c r="B21" s="175" t="inlineStr">
        <is>
          <t>建設機械の移送車両への積載及び移送作業</t>
        </is>
      </c>
      <c r="C21" s="244" t="n"/>
      <c r="D21" s="118" t="n">
        <v>5</v>
      </c>
      <c r="E21" s="182" t="inlineStr">
        <is>
          <t>ユンボ回送</t>
        </is>
      </c>
      <c r="F21" s="243" t="n"/>
      <c r="G21" s="244" t="n"/>
      <c r="H21" s="126" t="inlineStr">
        <is>
          <t>中原</t>
        </is>
      </c>
      <c r="I21" s="184" t="inlineStr">
        <is>
          <t>⑤</t>
        </is>
      </c>
      <c r="J21" s="92" t="inlineStr">
        <is>
          <t>土砂積込み作業</t>
        </is>
      </c>
      <c r="K21" s="121" t="n"/>
      <c r="M21" s="184" t="n"/>
      <c r="R21" s="186" t="inlineStr">
        <is>
          <t>推奨日数合計</t>
        </is>
      </c>
      <c r="S21" s="194" t="n"/>
      <c r="T21" s="259">
        <f>SUM(T15:T20)</f>
        <v/>
      </c>
      <c r="U21" s="186">
        <f>IF($S$13&gt;=24,"✓ 全番号達成可能","⚠ 出勤日数が不足")</f>
        <v/>
      </c>
      <c r="V21" s="194" t="n"/>
    </row>
    <row r="22" ht="17.25" customHeight="1" s="15">
      <c r="A22" s="245" t="n">
        <v>46095</v>
      </c>
      <c r="B22" s="175" t="inlineStr">
        <is>
          <t>休み</t>
        </is>
      </c>
      <c r="C22" s="244" t="n"/>
      <c r="D22" s="184" t="n"/>
      <c r="E22" s="182" t="n"/>
      <c r="F22" s="243" t="n"/>
      <c r="G22" s="244" t="n"/>
      <c r="H22" s="126" t="n"/>
      <c r="I22" s="184" t="inlineStr">
        <is>
          <t>⑥</t>
        </is>
      </c>
      <c r="J22" s="92" t="inlineStr">
        <is>
          <t>固結した土砂の破砕及び積込み作業</t>
        </is>
      </c>
      <c r="K22" s="121" t="n"/>
      <c r="M22" s="184" t="n"/>
    </row>
    <row r="23" ht="17.25" customHeight="1" s="15">
      <c r="A23" s="245" t="n">
        <v>46096</v>
      </c>
      <c r="B23" s="175" t="inlineStr">
        <is>
          <t>休み</t>
        </is>
      </c>
      <c r="C23" s="244" t="n"/>
      <c r="D23" s="118" t="n"/>
      <c r="E23" s="182" t="n"/>
      <c r="F23" s="243" t="n"/>
      <c r="G23" s="244" t="n"/>
      <c r="H23" s="126" t="n"/>
      <c r="I23" s="184" t="inlineStr">
        <is>
          <t>⑦</t>
        </is>
      </c>
      <c r="J23" s="92" t="inlineStr">
        <is>
          <t>岩石の移動、除去作業</t>
        </is>
      </c>
      <c r="K23" s="121" t="n"/>
      <c r="M23" s="184" t="n"/>
    </row>
    <row r="24" ht="17.25" customHeight="1" s="15">
      <c r="A24" s="245" t="n">
        <v>46097</v>
      </c>
      <c r="B24" s="175" t="inlineStr">
        <is>
          <t>積込み作業</t>
        </is>
      </c>
      <c r="C24" s="244" t="n"/>
      <c r="D24" s="118" t="n">
        <v>3</v>
      </c>
      <c r="E24" s="182" t="inlineStr">
        <is>
          <t>手元作業</t>
        </is>
      </c>
      <c r="F24" s="243" t="n"/>
      <c r="G24" s="244" t="n"/>
      <c r="H24" s="126" t="inlineStr">
        <is>
          <t>中原</t>
        </is>
      </c>
      <c r="I24" s="184" t="inlineStr">
        <is>
          <t>⑧</t>
        </is>
      </c>
      <c r="J24" s="92" t="inlineStr">
        <is>
          <t>粉砕した砕石の積込み作業</t>
        </is>
      </c>
      <c r="K24" s="121" t="n"/>
      <c r="M24" s="184" t="n"/>
    </row>
    <row r="25" ht="17.25" customHeight="1" s="15">
      <c r="A25" s="245" t="n">
        <v>46098</v>
      </c>
      <c r="B25" s="175" t="inlineStr">
        <is>
          <t>始業前点検</t>
        </is>
      </c>
      <c r="C25" s="244" t="n"/>
      <c r="D25" s="118" t="n">
        <v>1</v>
      </c>
      <c r="E25" s="182" t="inlineStr">
        <is>
          <t>目視点検</t>
        </is>
      </c>
      <c r="F25" s="243" t="n"/>
      <c r="G25" s="244" t="n"/>
      <c r="H25" s="126" t="inlineStr">
        <is>
          <t>中原</t>
        </is>
      </c>
      <c r="I25" s="184" t="inlineStr">
        <is>
          <t>1-(3)</t>
        </is>
      </c>
      <c r="J25" s="92" t="inlineStr">
        <is>
          <t>建設機械点検作業</t>
        </is>
      </c>
      <c r="K25" s="121" t="n"/>
      <c r="M25" s="184" t="n"/>
    </row>
    <row r="26" ht="17.25" customHeight="1" s="15">
      <c r="A26" s="245" t="n">
        <v>46099</v>
      </c>
      <c r="B26" s="175" t="inlineStr">
        <is>
          <t>作業開始前の安全装置等の点検作業</t>
        </is>
      </c>
      <c r="C26" s="244" t="n"/>
      <c r="D26" s="118" t="n">
        <v>2</v>
      </c>
      <c r="E26" s="176" t="inlineStr">
        <is>
          <t>目視点検</t>
        </is>
      </c>
      <c r="F26" s="243" t="n"/>
      <c r="G26" s="244" t="n"/>
      <c r="H26" s="119" t="inlineStr">
        <is>
          <t>中原</t>
        </is>
      </c>
      <c r="I26" s="184" t="inlineStr">
        <is>
          <t>①</t>
        </is>
      </c>
      <c r="J26" s="92" t="inlineStr">
        <is>
          <t>毎日整備</t>
        </is>
      </c>
      <c r="K26" s="121" t="n"/>
      <c r="M26" s="184" t="n"/>
    </row>
    <row r="27" ht="17.25" customHeight="1" s="15">
      <c r="A27" s="245" t="n">
        <v>46100</v>
      </c>
      <c r="B27" s="175" t="inlineStr">
        <is>
          <t>掘削作業</t>
        </is>
      </c>
      <c r="C27" s="244" t="n"/>
      <c r="D27" s="118" t="n">
        <v>1</v>
      </c>
      <c r="E27" s="182" t="inlineStr">
        <is>
          <t>法面掘削</t>
        </is>
      </c>
      <c r="F27" s="243" t="n"/>
      <c r="G27" s="244" t="n"/>
      <c r="H27" s="126" t="inlineStr">
        <is>
          <t>中原</t>
        </is>
      </c>
      <c r="I27" s="184" t="inlineStr">
        <is>
          <t>②</t>
        </is>
      </c>
      <c r="J27" s="92" t="inlineStr">
        <is>
          <t>始業前点検</t>
        </is>
      </c>
      <c r="K27" s="121" t="n"/>
      <c r="M27" s="184" t="n"/>
    </row>
    <row r="28" ht="17.25" customHeight="1" s="15">
      <c r="A28" s="245" t="n">
        <v>46101</v>
      </c>
      <c r="B28" s="175" t="inlineStr">
        <is>
          <t>土砂積込み作業</t>
        </is>
      </c>
      <c r="C28" s="244" t="n"/>
      <c r="D28" s="118" t="n">
        <v>1</v>
      </c>
      <c r="E28" s="182" t="inlineStr">
        <is>
          <t>積込み確認</t>
        </is>
      </c>
      <c r="F28" s="243" t="n"/>
      <c r="G28" s="244" t="n"/>
      <c r="H28" s="126" t="inlineStr">
        <is>
          <t>中原</t>
        </is>
      </c>
      <c r="I28" s="184" t="inlineStr">
        <is>
          <t>③</t>
        </is>
      </c>
      <c r="J28" s="148" t="inlineStr">
        <is>
          <t>作業終了後の機体の清掃及び燃料補給</t>
        </is>
      </c>
      <c r="K28" s="121" t="n"/>
      <c r="M28" s="184" t="n"/>
    </row>
    <row r="29" ht="17.25" customHeight="1" s="15">
      <c r="A29" s="245" t="n">
        <v>46102</v>
      </c>
      <c r="B29" s="175" t="inlineStr">
        <is>
          <t>休み</t>
        </is>
      </c>
      <c r="C29" s="244" t="n"/>
      <c r="D29" s="118" t="n"/>
      <c r="E29" s="182" t="n"/>
      <c r="F29" s="243" t="n"/>
      <c r="G29" s="244" t="n"/>
      <c r="H29" s="126" t="n"/>
      <c r="I29" s="184" t="inlineStr">
        <is>
          <t>2-(4)</t>
        </is>
      </c>
      <c r="J29" s="92" t="inlineStr">
        <is>
          <t>安全衛生業務</t>
        </is>
      </c>
      <c r="K29" s="149" t="n"/>
      <c r="M29" s="184" t="n"/>
    </row>
    <row r="30" ht="17.25" customHeight="1" s="15">
      <c r="A30" s="245" t="n">
        <v>46103</v>
      </c>
      <c r="B30" s="175" t="inlineStr">
        <is>
          <t>休み</t>
        </is>
      </c>
      <c r="C30" s="244" t="n"/>
      <c r="D30" s="118" t="n"/>
      <c r="E30" s="182" t="n"/>
      <c r="F30" s="243" t="n"/>
      <c r="G30" s="244" t="n"/>
      <c r="H30" s="126" t="n"/>
      <c r="I30" s="184" t="inlineStr">
        <is>
          <t>①</t>
        </is>
      </c>
      <c r="J30" s="148" t="inlineStr">
        <is>
          <t>雇入れ時等の安全衛生教育</t>
        </is>
      </c>
      <c r="K30" s="121" t="n"/>
      <c r="M30" s="184" t="n"/>
    </row>
    <row r="31" ht="17.25" customHeight="1" s="15">
      <c r="A31" s="245" t="n">
        <v>46104</v>
      </c>
      <c r="B31" s="175" t="inlineStr">
        <is>
          <t>建設機械の管理及び点検・整備作業</t>
        </is>
      </c>
      <c r="C31" s="244" t="n"/>
      <c r="D31" s="118" t="n">
        <v>3</v>
      </c>
      <c r="E31" s="182" t="inlineStr">
        <is>
          <t>バケット交換</t>
        </is>
      </c>
      <c r="F31" s="243" t="n"/>
      <c r="G31" s="244" t="n"/>
      <c r="H31" s="126" t="inlineStr">
        <is>
          <t>中原</t>
        </is>
      </c>
      <c r="I31" s="184" t="inlineStr">
        <is>
          <t>②</t>
        </is>
      </c>
      <c r="J31" s="148" t="inlineStr">
        <is>
          <t>作業開始前の安全装置等の点検作業</t>
        </is>
      </c>
      <c r="K31" s="149" t="n"/>
      <c r="M31" s="184" t="n"/>
    </row>
    <row r="32" ht="17.25" customHeight="1" s="15">
      <c r="A32" s="245" t="n">
        <v>46105</v>
      </c>
      <c r="B32" s="175" t="inlineStr">
        <is>
          <t>走行操作作業</t>
        </is>
      </c>
      <c r="C32" s="244" t="n"/>
      <c r="D32" s="118" t="n">
        <v>1</v>
      </c>
      <c r="E32" s="176" t="inlineStr">
        <is>
          <t>平坦地走行</t>
        </is>
      </c>
      <c r="F32" s="243" t="n"/>
      <c r="G32" s="244" t="n"/>
      <c r="H32" s="119" t="inlineStr">
        <is>
          <t>中原</t>
        </is>
      </c>
      <c r="I32" s="184" t="inlineStr">
        <is>
          <t>③</t>
        </is>
      </c>
      <c r="J32" s="148" t="inlineStr">
        <is>
          <t>建設機械施工職種に必要な整理整頓作業</t>
        </is>
      </c>
      <c r="K32" s="149" t="n"/>
      <c r="M32" s="184" t="n"/>
    </row>
    <row r="33" ht="17.25" customHeight="1" s="15">
      <c r="A33" s="245" t="n">
        <v>46106</v>
      </c>
      <c r="B33" s="175" t="inlineStr">
        <is>
          <t>休み</t>
        </is>
      </c>
      <c r="C33" s="244" t="n"/>
      <c r="D33" s="118" t="n"/>
      <c r="E33" s="176" t="n"/>
      <c r="F33" s="243" t="n"/>
      <c r="G33" s="244" t="n"/>
      <c r="H33" s="119" t="n"/>
      <c r="I33" s="184" t="inlineStr">
        <is>
          <t>④</t>
        </is>
      </c>
      <c r="J33" s="148" t="inlineStr">
        <is>
          <t>建設機械施工職種の作業用機械及び周囲の安全確認作業</t>
        </is>
      </c>
      <c r="K33" s="149" t="n"/>
      <c r="M33" s="184" t="n"/>
    </row>
    <row r="34" ht="17.25" customHeight="1" s="15">
      <c r="A34" s="245" t="n">
        <v>46107</v>
      </c>
      <c r="B34" s="175" t="inlineStr">
        <is>
          <t>掘削作業</t>
        </is>
      </c>
      <c r="C34" s="244" t="n"/>
      <c r="D34" s="118" t="n">
        <v>3</v>
      </c>
      <c r="E34" s="182" t="inlineStr">
        <is>
          <t>補助作業</t>
        </is>
      </c>
      <c r="F34" s="243" t="n"/>
      <c r="G34" s="244" t="n"/>
      <c r="H34" s="126" t="inlineStr">
        <is>
          <t>中原</t>
        </is>
      </c>
      <c r="I34" s="184" t="inlineStr">
        <is>
          <t>⑤</t>
        </is>
      </c>
      <c r="J34" s="148" t="inlineStr">
        <is>
          <t>保護具の着用と服装の安全点検作業</t>
        </is>
      </c>
      <c r="K34" s="149" t="n"/>
      <c r="M34" s="184" t="n"/>
    </row>
    <row r="35" ht="17.25" customHeight="1" s="15">
      <c r="A35" s="245" t="n">
        <v>46108</v>
      </c>
      <c r="B35" s="175" t="inlineStr">
        <is>
          <t>建設機械施工職種に必要な整理整頓作業</t>
        </is>
      </c>
      <c r="C35" s="244" t="n"/>
      <c r="D35" s="118" t="n">
        <v>2</v>
      </c>
      <c r="E35" s="182" t="inlineStr">
        <is>
          <t>現場整理</t>
        </is>
      </c>
      <c r="F35" s="243" t="n"/>
      <c r="G35" s="244" t="n"/>
      <c r="H35" s="126" t="inlineStr">
        <is>
          <t>中原</t>
        </is>
      </c>
      <c r="I35" s="184" t="inlineStr">
        <is>
          <t>⑥</t>
        </is>
      </c>
      <c r="J35" s="148" t="inlineStr">
        <is>
          <t>安全装置の使用等による作業</t>
        </is>
      </c>
      <c r="K35" s="149" t="n"/>
      <c r="M35" s="184" t="n"/>
    </row>
    <row r="36" ht="17.25" customHeight="1" s="15">
      <c r="A36" s="245" t="n">
        <v>46109</v>
      </c>
      <c r="B36" s="175" t="inlineStr">
        <is>
          <t>休み</t>
        </is>
      </c>
      <c r="C36" s="244" t="n"/>
      <c r="D36" s="118" t="n"/>
      <c r="E36" s="182" t="n"/>
      <c r="F36" s="243" t="n"/>
      <c r="G36" s="244" t="n"/>
      <c r="H36" s="126" t="n"/>
      <c r="I36" s="184" t="inlineStr">
        <is>
          <t>⑦</t>
        </is>
      </c>
      <c r="J36" s="148" t="inlineStr">
        <is>
          <t>労働安全衛生上の有害性を防止するための作業</t>
        </is>
      </c>
      <c r="K36" s="149" t="n"/>
      <c r="M36" s="184" t="n"/>
    </row>
    <row r="37" ht="17.25" customHeight="1" s="15">
      <c r="A37" s="245" t="n">
        <v>46110</v>
      </c>
      <c r="B37" s="175" t="inlineStr">
        <is>
          <t>休み</t>
        </is>
      </c>
      <c r="C37" s="244" t="n"/>
      <c r="D37" s="118" t="n"/>
      <c r="E37" s="182" t="n"/>
      <c r="F37" s="243" t="n"/>
      <c r="G37" s="244" t="n"/>
      <c r="H37" s="126" t="n"/>
      <c r="I37" s="184" t="inlineStr">
        <is>
          <t>⑧</t>
        </is>
      </c>
      <c r="J37" s="148" t="inlineStr">
        <is>
          <t>異常時の応急措置を習得するための作業</t>
        </is>
      </c>
      <c r="K37" s="149" t="n"/>
      <c r="M37" s="184" t="n"/>
    </row>
    <row r="38" ht="17.25" customHeight="1" s="15">
      <c r="A38" s="245" t="n">
        <v>46111</v>
      </c>
      <c r="B38" s="175" t="inlineStr">
        <is>
          <t>毎日整備</t>
        </is>
      </c>
      <c r="C38" s="244" t="n"/>
      <c r="D38" s="118" t="n">
        <v>1</v>
      </c>
      <c r="E38" s="182" t="inlineStr">
        <is>
          <t>目視点検</t>
        </is>
      </c>
      <c r="F38" s="243" t="n"/>
      <c r="G38" s="244" t="n"/>
      <c r="H38" s="126" t="inlineStr">
        <is>
          <t>中原</t>
        </is>
      </c>
      <c r="I38" s="184" t="inlineStr">
        <is>
          <t>3①</t>
        </is>
      </c>
      <c r="J38" s="148" t="inlineStr">
        <is>
          <t>押土整地作業</t>
        </is>
      </c>
      <c r="K38" s="149" t="n"/>
      <c r="M38" s="16" t="n">
        <v>3</v>
      </c>
    </row>
    <row r="39" ht="17.25" customHeight="1" s="15">
      <c r="A39" s="245" t="n">
        <v>46112</v>
      </c>
      <c r="B39" s="175" t="inlineStr">
        <is>
          <t>安全衛生業務</t>
        </is>
      </c>
      <c r="C39" s="244" t="n"/>
      <c r="D39" s="118" t="n">
        <v>6</v>
      </c>
      <c r="E39" s="182" t="inlineStr">
        <is>
          <t>安全訓練</t>
        </is>
      </c>
      <c r="F39" s="243" t="n"/>
      <c r="G39" s="244" t="n"/>
      <c r="H39" s="126" t="inlineStr">
        <is>
          <t>中原</t>
        </is>
      </c>
      <c r="I39" s="184" t="inlineStr">
        <is>
          <t>②</t>
        </is>
      </c>
      <c r="J39" s="92" t="inlineStr">
        <is>
          <t>積込み作業</t>
        </is>
      </c>
      <c r="K39" s="121" t="n"/>
      <c r="M39" s="184" t="n"/>
    </row>
    <row r="40" ht="13.5" customHeight="1" s="15">
      <c r="A40" s="94" t="inlineStr">
        <is>
          <t>(注意)</t>
        </is>
      </c>
      <c r="B40" s="92" t="n"/>
      <c r="C40" s="92" t="n"/>
      <c r="D40" s="92" t="n"/>
      <c r="E40" s="92" t="n"/>
      <c r="F40" s="92" t="n"/>
      <c r="G40" s="92" t="n"/>
      <c r="H40" s="92" t="n"/>
      <c r="I40" s="184" t="inlineStr">
        <is>
          <t>③</t>
        </is>
      </c>
      <c r="J40" s="92" t="inlineStr">
        <is>
          <t>締固め作業</t>
        </is>
      </c>
      <c r="K40" s="92" t="n"/>
    </row>
    <row r="41" ht="13.5" customHeight="1" s="15">
      <c r="A41" s="92" t="inlineStr">
        <is>
          <t xml:space="preserve">　　　　1　技能実習の区分、技能実習の期間、技能実習生に行わせる業務等が異なる場合は、分けて作成すること。</t>
        </is>
      </c>
      <c r="B41" s="92" t="n"/>
      <c r="C41" s="92" t="n"/>
      <c r="D41" s="92" t="n"/>
      <c r="E41" s="92" t="n"/>
      <c r="F41" s="92" t="n"/>
      <c r="G41" s="92" t="n"/>
      <c r="H41" s="92" t="n"/>
      <c r="I41" s="184" t="inlineStr">
        <is>
          <t>④</t>
        </is>
      </c>
      <c r="J41" s="92" t="inlineStr">
        <is>
          <t>建設機械施工管理作業</t>
        </is>
      </c>
      <c r="K41" s="92" t="n"/>
    </row>
    <row r="42" ht="13.5" customHeight="1" s="15">
      <c r="A42" s="92" t="inlineStr">
        <is>
          <t xml:space="preserve">　　　　2　技能実習生に従事させた業務の欄の右欄は、技能実習計画の実習実施予定表(別記様式第1号第4面から第6面まで)</t>
        </is>
      </c>
      <c r="B42" s="92" t="n"/>
      <c r="C42" s="92" t="n"/>
      <c r="D42" s="92" t="n"/>
      <c r="E42" s="92" t="n"/>
      <c r="F42" s="92" t="n"/>
      <c r="G42" s="92" t="n"/>
      <c r="H42" s="92" t="n"/>
      <c r="I42" s="184" t="inlineStr">
        <is>
          <t>⑤</t>
        </is>
      </c>
      <c r="J42" s="92" t="inlineStr">
        <is>
          <t>土工作業(対象職種・作業に係る手作業の作業）</t>
        </is>
      </c>
      <c r="K42" s="92" t="n"/>
    </row>
    <row r="43" ht="13.5" customHeight="1" s="15">
      <c r="A43" s="92" t="inlineStr">
        <is>
          <t xml:space="preserve">　　　　　の技能実習の内容欄の番号を記載すること。</t>
        </is>
      </c>
      <c r="B43" s="92" t="n"/>
      <c r="C43" s="92" t="n"/>
      <c r="D43" s="92" t="n"/>
      <c r="E43" s="92" t="n"/>
      <c r="F43" s="92" t="n"/>
      <c r="G43" s="92" t="n"/>
      <c r="H43" s="92" t="n"/>
      <c r="I43" s="184" t="inlineStr">
        <is>
          <t>⑥</t>
        </is>
      </c>
      <c r="J43" s="148" t="inlineStr">
        <is>
          <t>建設機械の管理及び点検・整備作業</t>
        </is>
      </c>
      <c r="K43" s="148" t="n"/>
    </row>
    <row r="44" ht="18" customHeight="1" s="15">
      <c r="I44" s="184" t="inlineStr">
        <is>
          <t>⑦</t>
        </is>
      </c>
      <c r="J44" s="92" t="inlineStr">
        <is>
          <t>各種揚重運搬機械の運転作業</t>
        </is>
      </c>
      <c r="K44" s="92" t="n"/>
    </row>
    <row r="45" ht="18" customHeight="1" s="15">
      <c r="I45" s="184" t="inlineStr">
        <is>
          <t>⑧</t>
        </is>
      </c>
      <c r="J45" s="148" t="inlineStr">
        <is>
          <t>玉掛け作業(特別教育又は技能講習が必要）</t>
        </is>
      </c>
    </row>
    <row r="46" ht="18" customHeight="1" s="15">
      <c r="I46" s="184" t="n">
        <v>5</v>
      </c>
      <c r="J46" s="148" t="inlineStr">
        <is>
          <t>建設機械の移送車両への積載及び移送作業</t>
        </is>
      </c>
    </row>
    <row r="47" ht="18" customHeight="1" s="15">
      <c r="J47" s="92" t="inlineStr">
        <is>
          <t>休み</t>
        </is>
      </c>
    </row>
  </sheetData>
  <mergeCells count="105">
    <mergeCell ref="E13:G13"/>
    <mergeCell ref="E31:G31"/>
    <mergeCell ref="B22:C22"/>
    <mergeCell ref="B31:C31"/>
    <mergeCell ref="E15:G15"/>
    <mergeCell ref="B12:C12"/>
    <mergeCell ref="B21:C21"/>
    <mergeCell ref="C4:G4"/>
    <mergeCell ref="M35:N35"/>
    <mergeCell ref="M10:N10"/>
    <mergeCell ref="E26:G26"/>
    <mergeCell ref="B14:C14"/>
    <mergeCell ref="M16:N16"/>
    <mergeCell ref="B13:C13"/>
    <mergeCell ref="E16:G16"/>
    <mergeCell ref="B38:C38"/>
    <mergeCell ref="M25:N25"/>
    <mergeCell ref="M36:N36"/>
    <mergeCell ref="E18:G18"/>
    <mergeCell ref="M33:N33"/>
    <mergeCell ref="M18:N18"/>
    <mergeCell ref="M8:N8"/>
    <mergeCell ref="M17:N17"/>
    <mergeCell ref="B24:C24"/>
    <mergeCell ref="B33:C33"/>
    <mergeCell ref="E35:G35"/>
    <mergeCell ref="B32:C32"/>
    <mergeCell ref="M19:N19"/>
    <mergeCell ref="B26:C26"/>
    <mergeCell ref="B35:C35"/>
    <mergeCell ref="E20:G20"/>
    <mergeCell ref="R1:V1"/>
    <mergeCell ref="E28:G28"/>
    <mergeCell ref="B16:C16"/>
    <mergeCell ref="B25:C25"/>
    <mergeCell ref="B8:D8"/>
    <mergeCell ref="R10:S10"/>
    <mergeCell ref="E30:G30"/>
    <mergeCell ref="B27:C27"/>
    <mergeCell ref="B18:C18"/>
    <mergeCell ref="E6:G6"/>
    <mergeCell ref="B11:C11"/>
    <mergeCell ref="M13:N13"/>
    <mergeCell ref="E32:G32"/>
    <mergeCell ref="M21:N21"/>
    <mergeCell ref="B29:C29"/>
    <mergeCell ref="D5:F5"/>
    <mergeCell ref="B37:C37"/>
    <mergeCell ref="M27:N27"/>
    <mergeCell ref="E24:G24"/>
    <mergeCell ref="M24:N24"/>
    <mergeCell ref="E33:G33"/>
    <mergeCell ref="B15:C15"/>
    <mergeCell ref="E8:G8"/>
    <mergeCell ref="E17:G17"/>
    <mergeCell ref="U10:V10"/>
    <mergeCell ref="E10:G10"/>
    <mergeCell ref="E19:G19"/>
    <mergeCell ref="M34:N34"/>
    <mergeCell ref="E34:G34"/>
    <mergeCell ref="E9:G9"/>
    <mergeCell ref="M9:N9"/>
    <mergeCell ref="M39:N39"/>
    <mergeCell ref="E36:G36"/>
    <mergeCell ref="E11:G11"/>
    <mergeCell ref="M11:N11"/>
    <mergeCell ref="T13:V13"/>
    <mergeCell ref="B17:C17"/>
    <mergeCell ref="M31:N31"/>
    <mergeCell ref="M15:N15"/>
    <mergeCell ref="E22:G22"/>
    <mergeCell ref="M12:N12"/>
    <mergeCell ref="U21:V21"/>
    <mergeCell ref="M37:N37"/>
    <mergeCell ref="E37:G37"/>
    <mergeCell ref="B34:C34"/>
    <mergeCell ref="B19:C19"/>
    <mergeCell ref="B28:C28"/>
    <mergeCell ref="E12:G12"/>
    <mergeCell ref="E21:G21"/>
    <mergeCell ref="B9:C9"/>
    <mergeCell ref="M26:N26"/>
    <mergeCell ref="B30:C30"/>
    <mergeCell ref="E14:G14"/>
    <mergeCell ref="M29:N29"/>
    <mergeCell ref="E23:G23"/>
    <mergeCell ref="M23:N23"/>
    <mergeCell ref="B20:C20"/>
    <mergeCell ref="B39:C39"/>
    <mergeCell ref="M20:N20"/>
    <mergeCell ref="E27:G27"/>
    <mergeCell ref="B23:C23"/>
    <mergeCell ref="E25:G25"/>
    <mergeCell ref="R21:S21"/>
    <mergeCell ref="M22:N22"/>
    <mergeCell ref="M30:N30"/>
    <mergeCell ref="R12:V12"/>
    <mergeCell ref="M28:N28"/>
    <mergeCell ref="B10:C10"/>
    <mergeCell ref="M32:N32"/>
    <mergeCell ref="E39:G39"/>
    <mergeCell ref="M14:N14"/>
    <mergeCell ref="B36:C36"/>
    <mergeCell ref="E29:G29"/>
    <mergeCell ref="E38:G3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ColWidth="8.5" defaultRowHeight="18"/>
  <cols>
    <col width="10.3984375" customWidth="1" style="15" min="1" max="1"/>
    <col width="6.8984375" customWidth="1" style="15" min="3" max="3"/>
    <col width="6" customWidth="1" style="15" min="4" max="4"/>
    <col width="10.59765625" customWidth="1" style="15" min="5" max="5"/>
    <col width="9" customWidth="1" style="15" min="6" max="6"/>
    <col width="15.3984375" customWidth="1" style="15" min="7" max="7"/>
    <col width="12" customWidth="1" style="15" min="8" max="8"/>
    <col width="6" customWidth="1" style="15" min="9" max="9"/>
    <col width="6.8984375" customWidth="1" style="15" min="11" max="11"/>
    <col width="6" customWidth="1" style="15" min="12" max="12"/>
    <col width="5" customWidth="1" style="15" min="18" max="18"/>
    <col width="9" customWidth="1" style="15" min="19" max="20"/>
    <col width="8" customWidth="1" style="15" min="21" max="21"/>
    <col width="14" customWidth="1" style="15" min="22" max="22"/>
  </cols>
  <sheetData>
    <row r="1" ht="10.5" customHeight="1" s="15">
      <c r="A1" s="92" t="inlineStr">
        <is>
          <t>参考様式第4－2号別紙(規則第22号第1項第3号関係)</t>
        </is>
      </c>
      <c r="G1" s="93" t="n"/>
      <c r="H1" s="94" t="inlineStr">
        <is>
          <t>(日本工業規格A列4）</t>
        </is>
      </c>
      <c r="R1" s="168" t="inlineStr">
        <is>
          <t>【月次 時間数 進捗モニター】</t>
        </is>
      </c>
    </row>
    <row r="2" ht="12.75" customHeight="1" s="15">
      <c r="A2" s="95" t="inlineStr">
        <is>
          <t>A・B・C・D・E・F</t>
        </is>
      </c>
    </row>
    <row r="3" ht="18" customHeight="1" s="15">
      <c r="R3" s="96" t="inlineStr">
        <is>
          <t>番号</t>
        </is>
      </c>
      <c r="S3" s="96" t="inlineStr">
        <is>
          <t>必要時間</t>
        </is>
      </c>
      <c r="T3" s="96" t="inlineStr">
        <is>
          <t>実績時間</t>
        </is>
      </c>
      <c r="U3" s="96" t="inlineStr">
        <is>
          <t>達成率</t>
        </is>
      </c>
      <c r="V3" s="96" t="inlineStr">
        <is>
          <t>状態</t>
        </is>
      </c>
    </row>
    <row r="4" ht="18.75" customHeight="1" s="15">
      <c r="C4" s="169" t="inlineStr">
        <is>
          <t xml:space="preserve">　　　技　　能　　実　　習　　日　　誌</t>
        </is>
      </c>
      <c r="R4" s="97" t="n">
        <v>1</v>
      </c>
      <c r="S4" s="201" t="n">
        <v>90</v>
      </c>
      <c r="T4" s="204">
        <f>COUNTIF($D$9:$D$39,1)*8</f>
        <v/>
      </c>
      <c r="U4" s="98">
        <f>T4/S4</f>
        <v/>
      </c>
      <c r="V4" s="99">
        <f>IF(T4&gt;=S4,"✓ 達成","△ あと "&amp;TEXT(S4-T4,"0")&amp;"時間")</f>
        <v/>
      </c>
    </row>
    <row r="5" ht="18.75" customHeight="1" s="15">
      <c r="D5" s="170" t="inlineStr">
        <is>
          <t>（　　　2026　　年　　4　　月分）</t>
        </is>
      </c>
      <c r="R5" s="100" t="n">
        <v>2</v>
      </c>
      <c r="S5" s="207" t="n">
        <v>10</v>
      </c>
      <c r="T5" s="210">
        <f>COUNTIF($D$9:$D$39,2)*8</f>
        <v/>
      </c>
      <c r="U5" s="101">
        <f>T5/S5</f>
        <v/>
      </c>
      <c r="V5" s="102">
        <f>IF(T5&gt;=S5,"✓ 達成","△ あと "&amp;TEXT(S5-T5,"0")&amp;"時間")</f>
        <v/>
      </c>
    </row>
    <row r="6" ht="18.75" customHeight="1" s="15">
      <c r="E6" s="171" t="inlineStr">
        <is>
          <t xml:space="preserve">　　　　　　氏名　ヨザ</t>
        </is>
      </c>
      <c r="F6" s="242" t="n"/>
      <c r="G6" s="242" t="n"/>
      <c r="R6" s="103" t="n">
        <v>3</v>
      </c>
      <c r="S6" s="213" t="n">
        <v>44</v>
      </c>
      <c r="T6" s="216">
        <f>COUNTIF($D$9:$D$39,3)*8</f>
        <v/>
      </c>
      <c r="U6" s="104">
        <f>T6/S6</f>
        <v/>
      </c>
      <c r="V6" s="105">
        <f>IF(T6&gt;=S6,"✓ 達成","△ あと "&amp;TEXT(S6-T6,"0")&amp;"時間")</f>
        <v/>
      </c>
    </row>
    <row r="7" ht="18.75" customHeight="1" s="15">
      <c r="A7" s="106" t="inlineStr">
        <is>
          <t>(対象:別紙｢技能実習生一覧表｣のとおり)</t>
        </is>
      </c>
      <c r="R7" s="107" t="n">
        <v>4</v>
      </c>
      <c r="S7" s="219" t="n">
        <v>8</v>
      </c>
      <c r="T7" s="222">
        <f>COUNTIF($D$9:$D$39,4)*8</f>
        <v/>
      </c>
      <c r="U7" s="108">
        <f>T7/S7</f>
        <v/>
      </c>
      <c r="V7" s="109">
        <f>IF(T7&gt;=S7,"✓ 達成","△ あと "&amp;TEXT(S7-T7,"0")&amp;"時間")</f>
        <v/>
      </c>
    </row>
    <row r="8" ht="18.75" customHeight="1" s="15">
      <c r="A8" s="172" t="inlineStr">
        <is>
          <t>日付</t>
        </is>
      </c>
      <c r="B8" s="172" t="inlineStr">
        <is>
          <t>技能実習生に従事させた業務</t>
        </is>
      </c>
      <c r="C8" s="243" t="n"/>
      <c r="D8" s="244" t="n"/>
      <c r="E8" s="173" t="inlineStr">
        <is>
          <t>技能実習生に対する指導の内容</t>
        </is>
      </c>
      <c r="F8" s="243" t="n"/>
      <c r="G8" s="244" t="n"/>
      <c r="H8" s="173" t="inlineStr">
        <is>
          <t>指導者氏名</t>
        </is>
      </c>
      <c r="J8" s="112" t="inlineStr">
        <is>
          <t>従事させた業務</t>
        </is>
      </c>
      <c r="K8" s="113" t="n"/>
      <c r="M8" s="174" t="n"/>
      <c r="R8" s="114" t="n">
        <v>5</v>
      </c>
      <c r="S8" s="225" t="n">
        <v>15</v>
      </c>
      <c r="T8" s="228">
        <f>COUNTIF($D$9:$D$39,5)*8</f>
        <v/>
      </c>
      <c r="U8" s="115">
        <f>T8/S8</f>
        <v/>
      </c>
      <c r="V8" s="116">
        <f>IF(T8&gt;=S8,"✓ 達成","△ あと "&amp;TEXT(S8-T8,"0")&amp;"時間")</f>
        <v/>
      </c>
    </row>
    <row r="9" ht="18.75" customHeight="1" s="15">
      <c r="A9" s="245" t="n">
        <v>46113</v>
      </c>
      <c r="B9" s="175" t="inlineStr">
        <is>
          <t>掘削作業</t>
        </is>
      </c>
      <c r="C9" s="244" t="n"/>
      <c r="D9" s="118" t="n">
        <v>3</v>
      </c>
      <c r="E9" s="176" t="inlineStr">
        <is>
          <t>手元作業</t>
        </is>
      </c>
      <c r="F9" s="243" t="n"/>
      <c r="G9" s="244" t="n"/>
      <c r="H9" s="119" t="inlineStr">
        <is>
          <t>中原</t>
        </is>
      </c>
      <c r="I9" s="184" t="inlineStr">
        <is>
          <t>1-(1)</t>
        </is>
      </c>
      <c r="J9" s="92" t="inlineStr">
        <is>
          <t>走行操作作業</t>
        </is>
      </c>
      <c r="K9" s="121" t="n"/>
      <c r="L9" s="184" t="n"/>
      <c r="M9" s="174" t="n"/>
      <c r="R9" s="122" t="n">
        <v>6</v>
      </c>
      <c r="S9" s="231" t="n">
        <v>8</v>
      </c>
      <c r="T9" s="234">
        <f>COUNTIF($D$9:$D$39,6)*8</f>
        <v/>
      </c>
      <c r="U9" s="123">
        <f>T9/S9</f>
        <v/>
      </c>
      <c r="V9" s="124">
        <f>IF(T9&gt;=S9,"✓ 達成","△ あと "&amp;TEXT(S9-T9,"0")&amp;"時間")</f>
        <v/>
      </c>
    </row>
    <row r="10" ht="21.75" customHeight="1" s="15">
      <c r="A10" s="245" t="n">
        <v>46114</v>
      </c>
      <c r="B10" s="175" t="inlineStr">
        <is>
          <t>掘削作業</t>
        </is>
      </c>
      <c r="C10" s="244" t="n"/>
      <c r="D10" s="184" t="n">
        <v>1</v>
      </c>
      <c r="E10" s="176" t="inlineStr">
        <is>
          <t>マンホール布設</t>
        </is>
      </c>
      <c r="F10" s="243" t="n"/>
      <c r="G10" s="244" t="n"/>
      <c r="H10" s="119" t="inlineStr">
        <is>
          <t>中原</t>
        </is>
      </c>
      <c r="I10" s="184" t="inlineStr">
        <is>
          <t>①</t>
        </is>
      </c>
      <c r="J10" s="92" t="inlineStr">
        <is>
          <t>発進操作</t>
        </is>
      </c>
      <c r="K10" s="121" t="n"/>
      <c r="L10" s="184" t="n"/>
      <c r="M10" s="174" t="n"/>
      <c r="R10" s="177" t="inlineStr">
        <is>
          <t>合計実績</t>
        </is>
      </c>
      <c r="S10" s="194" t="n"/>
      <c r="T10" s="246">
        <f>SUM(T4:T9)</f>
        <v/>
      </c>
      <c r="U10" s="178">
        <f>IF(T10&gt;=175,"✓ 全番号クリア可能","△ まだ不足あり")</f>
        <v/>
      </c>
      <c r="V10" s="194" t="n"/>
    </row>
    <row r="11" ht="17.25" customHeight="1" s="15">
      <c r="A11" s="245" t="n">
        <v>46115</v>
      </c>
      <c r="B11" s="175" t="inlineStr">
        <is>
          <t>土砂積込み作業</t>
        </is>
      </c>
      <c r="C11" s="244" t="n"/>
      <c r="D11" s="118" t="n">
        <v>1</v>
      </c>
      <c r="E11" s="176" t="inlineStr">
        <is>
          <t>周囲の確認</t>
        </is>
      </c>
      <c r="F11" s="243" t="n"/>
      <c r="G11" s="244" t="n"/>
      <c r="H11" s="119" t="inlineStr">
        <is>
          <t>中原</t>
        </is>
      </c>
      <c r="I11" s="184" t="inlineStr">
        <is>
          <t>②</t>
        </is>
      </c>
      <c r="J11" s="92" t="inlineStr">
        <is>
          <t>平坦地走行操作</t>
        </is>
      </c>
      <c r="K11" s="121" t="n"/>
      <c r="L11" s="184" t="n"/>
      <c r="M11" s="174" t="n"/>
    </row>
    <row r="12" ht="21.75" customHeight="1" s="15">
      <c r="A12" s="245" t="n">
        <v>46116</v>
      </c>
      <c r="B12" s="175" t="inlineStr">
        <is>
          <t>休み</t>
        </is>
      </c>
      <c r="C12" s="244" t="n"/>
      <c r="D12" s="118" t="n"/>
      <c r="E12" s="179" t="n"/>
      <c r="F12" s="243" t="n"/>
      <c r="G12" s="244" t="n"/>
      <c r="H12" s="119" t="n"/>
      <c r="I12" s="184" t="inlineStr">
        <is>
          <t>③</t>
        </is>
      </c>
      <c r="J12" s="92" t="inlineStr">
        <is>
          <t>登坂操作</t>
        </is>
      </c>
      <c r="K12" s="121" t="n"/>
      <c r="L12" s="184" t="n"/>
      <c r="M12" s="180" t="n"/>
      <c r="R12" s="181" t="inlineStr">
        <is>
          <t>【翌月 振り分け提案】　出勤日数を入力 ↓</t>
        </is>
      </c>
    </row>
    <row r="13" ht="17.25" customHeight="1" s="15">
      <c r="A13" s="245" t="n">
        <v>46117</v>
      </c>
      <c r="B13" s="175" t="inlineStr">
        <is>
          <t>休み</t>
        </is>
      </c>
      <c r="C13" s="244" t="n"/>
      <c r="D13" s="118" t="n"/>
      <c r="E13" s="182" t="n"/>
      <c r="F13" s="243" t="n"/>
      <c r="G13" s="244" t="n"/>
      <c r="H13" s="126" t="n"/>
      <c r="I13" s="184" t="inlineStr">
        <is>
          <t>④</t>
        </is>
      </c>
      <c r="J13" s="92" t="inlineStr">
        <is>
          <t>降坂操作</t>
        </is>
      </c>
      <c r="K13" s="121" t="n"/>
      <c r="L13" s="184" t="n"/>
      <c r="M13" s="174" t="n"/>
      <c r="R13" s="127" t="inlineStr">
        <is>
          <t>出勤日数 →</t>
        </is>
      </c>
      <c r="S13" s="196" t="n">
        <v>22</v>
      </c>
      <c r="T13" s="183">
        <f>IF(S13&gt;=24,"✓ 必要日数(24日)をクリアできます","⚠ 最低24日必要です")</f>
        <v/>
      </c>
      <c r="U13" s="194" t="n"/>
      <c r="V13" s="194" t="n"/>
    </row>
    <row r="14" ht="18" customHeight="1" s="15">
      <c r="A14" s="245" t="n">
        <v>46118</v>
      </c>
      <c r="B14" s="175" t="inlineStr">
        <is>
          <t>締固め作業</t>
        </is>
      </c>
      <c r="C14" s="244" t="n"/>
      <c r="D14" s="118" t="n">
        <v>3</v>
      </c>
      <c r="E14" s="182" t="inlineStr">
        <is>
          <t>ランマ転圧</t>
        </is>
      </c>
      <c r="F14" s="243" t="n"/>
      <c r="G14" s="244" t="n"/>
      <c r="H14" s="126" t="inlineStr">
        <is>
          <t>中原</t>
        </is>
      </c>
      <c r="I14" s="184" t="inlineStr">
        <is>
          <t>⑤</t>
        </is>
      </c>
      <c r="J14" s="92" t="inlineStr">
        <is>
          <t>停止操作</t>
        </is>
      </c>
      <c r="K14" s="121" t="n"/>
      <c r="L14" s="184" t="n"/>
      <c r="M14" s="184" t="n"/>
      <c r="R14" s="128" t="inlineStr">
        <is>
          <t>番号</t>
        </is>
      </c>
      <c r="S14" s="128" t="inlineStr">
        <is>
          <t>必要日数</t>
        </is>
      </c>
      <c r="T14" s="128" t="inlineStr">
        <is>
          <t>推奨割当日</t>
        </is>
      </c>
      <c r="U14" s="128" t="inlineStr">
        <is>
          <t>今月残り日</t>
        </is>
      </c>
      <c r="V14" s="128" t="inlineStr">
        <is>
          <t>代表業務</t>
        </is>
      </c>
    </row>
    <row r="15" ht="18" customHeight="1" s="15">
      <c r="A15" s="245" t="n">
        <v>46119</v>
      </c>
      <c r="B15" s="175" t="inlineStr">
        <is>
          <t>土工作業(対象職種・作業に係る手作業の作業）</t>
        </is>
      </c>
      <c r="C15" s="244" t="n"/>
      <c r="D15" s="184" t="n">
        <v>3</v>
      </c>
      <c r="E15" s="182" t="inlineStr">
        <is>
          <t>補助作業</t>
        </is>
      </c>
      <c r="F15" s="243" t="n"/>
      <c r="G15" s="244" t="n"/>
      <c r="H15" s="126" t="inlineStr">
        <is>
          <t>中原</t>
        </is>
      </c>
      <c r="I15" s="184" t="inlineStr">
        <is>
          <t>⑥</t>
        </is>
      </c>
      <c r="J15" s="92" t="inlineStr">
        <is>
          <t>下車操作</t>
        </is>
      </c>
      <c r="K15" s="121" t="n"/>
      <c r="M15" s="184" t="n"/>
      <c r="R15" s="97" t="n">
        <v>1</v>
      </c>
      <c r="S15" s="247" t="n">
        <v>12</v>
      </c>
      <c r="T15" s="248">
        <f>ROUND($S$13*12/24,0)</f>
        <v/>
      </c>
      <c r="U15" s="202">
        <f>MAX(0,12-COUNTIF($D$9:$D$39,1))</f>
        <v/>
      </c>
      <c r="V15" s="131" t="inlineStr">
        <is>
          <t>掘削・積込・走行</t>
        </is>
      </c>
    </row>
    <row r="16" ht="18" customHeight="1" s="15">
      <c r="A16" s="245" t="n">
        <v>46120</v>
      </c>
      <c r="B16" s="175" t="inlineStr">
        <is>
          <t>走行操作作業</t>
        </is>
      </c>
      <c r="C16" s="244" t="n"/>
      <c r="D16" s="118" t="n">
        <v>1</v>
      </c>
      <c r="E16" s="182" t="inlineStr">
        <is>
          <t>登坂操作</t>
        </is>
      </c>
      <c r="F16" s="243" t="n"/>
      <c r="G16" s="244" t="n"/>
      <c r="H16" s="126" t="inlineStr">
        <is>
          <t>中原</t>
        </is>
      </c>
      <c r="I16" s="184" t="inlineStr">
        <is>
          <t>1-(2)</t>
        </is>
      </c>
      <c r="J16" s="92" t="inlineStr">
        <is>
          <t>掘削作業</t>
        </is>
      </c>
      <c r="K16" s="121" t="n"/>
      <c r="M16" s="184" t="n"/>
      <c r="R16" s="100" t="n">
        <v>2</v>
      </c>
      <c r="S16" s="249" t="n">
        <v>2</v>
      </c>
      <c r="T16" s="250">
        <f>ROUND($S$13*2/24,0)</f>
        <v/>
      </c>
      <c r="U16" s="208">
        <f>MAX(0,2-COUNTIF($D$9:$D$39,2))</f>
        <v/>
      </c>
      <c r="V16" s="134" t="inlineStr">
        <is>
          <t>点検・整理</t>
        </is>
      </c>
    </row>
    <row r="17" ht="18" customHeight="1" s="15">
      <c r="A17" s="245" t="n">
        <v>46121</v>
      </c>
      <c r="B17" s="175" t="inlineStr">
        <is>
          <t>安全衛生業務</t>
        </is>
      </c>
      <c r="C17" s="244" t="n"/>
      <c r="D17" s="118" t="n">
        <v>6</v>
      </c>
      <c r="E17" s="185" t="inlineStr">
        <is>
          <t>安全訓練</t>
        </is>
      </c>
      <c r="F17" s="243" t="n"/>
      <c r="G17" s="244" t="n"/>
      <c r="H17" s="126" t="inlineStr">
        <is>
          <t>中原</t>
        </is>
      </c>
      <c r="I17" s="184" t="inlineStr">
        <is>
          <t>①</t>
        </is>
      </c>
      <c r="J17" s="92" t="inlineStr">
        <is>
          <t>溝掘削作業</t>
        </is>
      </c>
      <c r="K17" s="121" t="n"/>
      <c r="M17" s="184" t="n"/>
      <c r="R17" s="103" t="n">
        <v>3</v>
      </c>
      <c r="S17" s="251" t="n">
        <v>6</v>
      </c>
      <c r="T17" s="252">
        <f>ROUND($S$13*6/24,0)</f>
        <v/>
      </c>
      <c r="U17" s="214">
        <f>MAX(0,6-COUNTIF($D$9:$D$39,3))</f>
        <v/>
      </c>
      <c r="V17" s="137" t="inlineStr">
        <is>
          <t>掘削・締固・土工</t>
        </is>
      </c>
    </row>
    <row r="18" ht="18" customHeight="1" s="15">
      <c r="A18" s="245" t="n">
        <v>46122</v>
      </c>
      <c r="B18" s="175" t="inlineStr">
        <is>
          <t>毎日整備</t>
        </is>
      </c>
      <c r="C18" s="244" t="n"/>
      <c r="D18" s="118" t="n">
        <v>1</v>
      </c>
      <c r="E18" s="176" t="inlineStr">
        <is>
          <t>清掃作業</t>
        </is>
      </c>
      <c r="F18" s="243" t="n"/>
      <c r="G18" s="244" t="n"/>
      <c r="H18" s="119" t="inlineStr">
        <is>
          <t>中原</t>
        </is>
      </c>
      <c r="I18" s="184" t="inlineStr">
        <is>
          <t>②</t>
        </is>
      </c>
      <c r="J18" s="92" t="inlineStr">
        <is>
          <t>建築物の基礎掘削作業</t>
        </is>
      </c>
      <c r="K18" s="121" t="n"/>
      <c r="M18" s="184" t="n"/>
      <c r="R18" s="107" t="n">
        <v>4</v>
      </c>
      <c r="S18" s="253" t="n">
        <v>1</v>
      </c>
      <c r="T18" s="254">
        <f>ROUND($S$13*1/24,0)</f>
        <v/>
      </c>
      <c r="U18" s="220">
        <f>MAX(0,1-COUNTIF($D$9:$D$39,4))</f>
        <v/>
      </c>
      <c r="V18" s="140" t="inlineStr">
        <is>
          <t>安全衛生・機械管理</t>
        </is>
      </c>
    </row>
    <row r="19" ht="18" customHeight="1" s="15">
      <c r="A19" s="245" t="n">
        <v>46123</v>
      </c>
      <c r="B19" s="175" t="inlineStr">
        <is>
          <t>積込み作業</t>
        </is>
      </c>
      <c r="C19" s="244" t="n"/>
      <c r="D19" s="118" t="n">
        <v>3</v>
      </c>
      <c r="E19" s="176" t="inlineStr">
        <is>
          <t>手元作業</t>
        </is>
      </c>
      <c r="F19" s="243" t="n"/>
      <c r="G19" s="244" t="n"/>
      <c r="H19" s="119" t="inlineStr">
        <is>
          <t>中原</t>
        </is>
      </c>
      <c r="I19" s="184" t="inlineStr">
        <is>
          <t>③</t>
        </is>
      </c>
      <c r="J19" s="92" t="inlineStr">
        <is>
          <t>地表面の浅い掘削作業</t>
        </is>
      </c>
      <c r="K19" s="121" t="n"/>
      <c r="M19" s="184" t="n"/>
      <c r="R19" s="114" t="n">
        <v>5</v>
      </c>
      <c r="S19" s="255" t="n">
        <v>2</v>
      </c>
      <c r="T19" s="256">
        <f>ROUND($S$13*2/24,0)</f>
        <v/>
      </c>
      <c r="U19" s="226">
        <f>MAX(0,2-COUNTIF($D$9:$D$39,5))</f>
        <v/>
      </c>
      <c r="V19" s="143" t="inlineStr">
        <is>
          <t>機械移送</t>
        </is>
      </c>
    </row>
    <row r="20" ht="18" customHeight="1" s="15">
      <c r="A20" s="245" t="n">
        <v>46124</v>
      </c>
      <c r="B20" s="175" t="inlineStr">
        <is>
          <t>休み</t>
        </is>
      </c>
      <c r="C20" s="244" t="n"/>
      <c r="D20" s="118" t="n"/>
      <c r="E20" s="182" t="n"/>
      <c r="F20" s="243" t="n"/>
      <c r="G20" s="244" t="n"/>
      <c r="H20" s="126" t="n"/>
      <c r="I20" s="184" t="inlineStr">
        <is>
          <t>④</t>
        </is>
      </c>
      <c r="J20" s="92" t="inlineStr">
        <is>
          <t>法面の切取り仕上げ作業</t>
        </is>
      </c>
      <c r="K20" s="121" t="n"/>
      <c r="M20" s="184" t="n"/>
      <c r="R20" s="122" t="n">
        <v>6</v>
      </c>
      <c r="S20" s="257" t="n">
        <v>1</v>
      </c>
      <c r="T20" s="258">
        <f>ROUND($S$13*1/24,0)</f>
        <v/>
      </c>
      <c r="U20" s="232">
        <f>MAX(0,1-COUNTIF($D$9:$D$39,6))</f>
        <v/>
      </c>
      <c r="V20" s="146" t="inlineStr">
        <is>
          <t>安全訓練</t>
        </is>
      </c>
    </row>
    <row r="21" ht="21.75" customHeight="1" s="15">
      <c r="A21" s="245" t="n">
        <v>46125</v>
      </c>
      <c r="B21" s="175" t="inlineStr">
        <is>
          <t>安全衛生業務</t>
        </is>
      </c>
      <c r="C21" s="244" t="n"/>
      <c r="D21" s="118" t="n">
        <v>4</v>
      </c>
      <c r="E21" s="182" t="inlineStr">
        <is>
          <t>荷物搬入</t>
        </is>
      </c>
      <c r="F21" s="243" t="n"/>
      <c r="G21" s="244" t="n"/>
      <c r="H21" s="126" t="inlineStr">
        <is>
          <t>中原</t>
        </is>
      </c>
      <c r="I21" s="184" t="inlineStr">
        <is>
          <t>⑤</t>
        </is>
      </c>
      <c r="J21" s="92" t="inlineStr">
        <is>
          <t>土砂積込み作業</t>
        </is>
      </c>
      <c r="K21" s="121" t="n"/>
      <c r="M21" s="184" t="n"/>
      <c r="R21" s="186" t="inlineStr">
        <is>
          <t>推奨日数合計</t>
        </is>
      </c>
      <c r="S21" s="194" t="n"/>
      <c r="T21" s="259">
        <f>SUM(T15:T20)</f>
        <v/>
      </c>
      <c r="U21" s="186">
        <f>IF($S$13&gt;=24,"✓ 全番号達成可能","⚠ 出勤日数が不足")</f>
        <v/>
      </c>
      <c r="V21" s="194" t="n"/>
    </row>
    <row r="22" ht="17.25" customHeight="1" s="15">
      <c r="A22" s="245" t="n">
        <v>46126</v>
      </c>
      <c r="B22" s="175" t="inlineStr">
        <is>
          <t>建設機械の移送車両への積載及び移送作業</t>
        </is>
      </c>
      <c r="C22" s="244" t="n"/>
      <c r="D22" s="184" t="n">
        <v>5</v>
      </c>
      <c r="E22" s="182" t="inlineStr">
        <is>
          <t>声出し誘導</t>
        </is>
      </c>
      <c r="F22" s="243" t="n"/>
      <c r="G22" s="244" t="n"/>
      <c r="H22" s="126" t="inlineStr">
        <is>
          <t>中原</t>
        </is>
      </c>
      <c r="I22" s="184" t="inlineStr">
        <is>
          <t>⑥</t>
        </is>
      </c>
      <c r="J22" s="92" t="inlineStr">
        <is>
          <t>固結した土砂の破砕及び積込み作業</t>
        </is>
      </c>
      <c r="K22" s="121" t="n"/>
      <c r="M22" s="184" t="n"/>
    </row>
    <row r="23" ht="17.25" customHeight="1" s="15">
      <c r="A23" s="245" t="n">
        <v>46127</v>
      </c>
      <c r="B23" s="175" t="inlineStr">
        <is>
          <t>始業前点検</t>
        </is>
      </c>
      <c r="C23" s="244" t="n"/>
      <c r="D23" s="118" t="n">
        <v>1</v>
      </c>
      <c r="E23" s="182" t="inlineStr">
        <is>
          <t>目視点検</t>
        </is>
      </c>
      <c r="F23" s="243" t="n"/>
      <c r="G23" s="244" t="n"/>
      <c r="H23" s="126" t="inlineStr">
        <is>
          <t>中原</t>
        </is>
      </c>
      <c r="I23" s="184" t="inlineStr">
        <is>
          <t>⑦</t>
        </is>
      </c>
      <c r="J23" s="92" t="inlineStr">
        <is>
          <t>岩石の移動、除去作業</t>
        </is>
      </c>
      <c r="K23" s="121" t="n"/>
      <c r="M23" s="184" t="n"/>
    </row>
    <row r="24" ht="17.25" customHeight="1" s="15">
      <c r="A24" s="245" t="n">
        <v>46128</v>
      </c>
      <c r="B24" s="175" t="inlineStr">
        <is>
          <t>掘削作業</t>
        </is>
      </c>
      <c r="C24" s="244" t="n"/>
      <c r="D24" s="118" t="n">
        <v>1</v>
      </c>
      <c r="E24" s="182" t="inlineStr">
        <is>
          <t>法面掘削</t>
        </is>
      </c>
      <c r="F24" s="243" t="n"/>
      <c r="G24" s="244" t="n"/>
      <c r="H24" s="126" t="inlineStr">
        <is>
          <t>中原</t>
        </is>
      </c>
      <c r="I24" s="184" t="inlineStr">
        <is>
          <t>⑧</t>
        </is>
      </c>
      <c r="J24" s="92" t="inlineStr">
        <is>
          <t>粉砕した砕石の積込み作業</t>
        </is>
      </c>
      <c r="K24" s="121" t="n"/>
      <c r="M24" s="184" t="n"/>
    </row>
    <row r="25" ht="17.25" customHeight="1" s="15">
      <c r="A25" s="245" t="n">
        <v>46129</v>
      </c>
      <c r="B25" s="175" t="inlineStr">
        <is>
          <t>建設機械の移送車両への積載及び移送作業</t>
        </is>
      </c>
      <c r="C25" s="244" t="n"/>
      <c r="D25" s="118" t="n">
        <v>5</v>
      </c>
      <c r="E25" s="182" t="inlineStr">
        <is>
          <t>ユンボ回送</t>
        </is>
      </c>
      <c r="F25" s="243" t="n"/>
      <c r="G25" s="244" t="n"/>
      <c r="H25" s="126" t="inlineStr">
        <is>
          <t>中原</t>
        </is>
      </c>
      <c r="I25" s="184" t="inlineStr">
        <is>
          <t>1-(3)</t>
        </is>
      </c>
      <c r="J25" s="92" t="inlineStr">
        <is>
          <t>建設機械点検作業</t>
        </is>
      </c>
      <c r="K25" s="121" t="n"/>
      <c r="M25" s="184" t="n"/>
    </row>
    <row r="26" ht="17.25" customHeight="1" s="15">
      <c r="A26" s="245" t="n">
        <v>46130</v>
      </c>
      <c r="B26" s="175" t="inlineStr">
        <is>
          <t>作業開始前の安全装置等の点検作業</t>
        </is>
      </c>
      <c r="C26" s="244" t="n"/>
      <c r="D26" s="118" t="n">
        <v>2</v>
      </c>
      <c r="E26" s="176" t="inlineStr">
        <is>
          <t>目視点検</t>
        </is>
      </c>
      <c r="F26" s="243" t="n"/>
      <c r="G26" s="244" t="n"/>
      <c r="H26" s="119" t="inlineStr">
        <is>
          <t>中原</t>
        </is>
      </c>
      <c r="I26" s="184" t="inlineStr">
        <is>
          <t>①</t>
        </is>
      </c>
      <c r="J26" s="92" t="inlineStr">
        <is>
          <t>毎日整備</t>
        </is>
      </c>
      <c r="K26" s="121" t="n"/>
      <c r="M26" s="184" t="n"/>
    </row>
    <row r="27" ht="17.25" customHeight="1" s="15">
      <c r="A27" s="245" t="n">
        <v>46131</v>
      </c>
      <c r="B27" s="175" t="inlineStr">
        <is>
          <t>休み</t>
        </is>
      </c>
      <c r="C27" s="244" t="n"/>
      <c r="D27" s="118" t="n"/>
      <c r="E27" s="182" t="n"/>
      <c r="F27" s="243" t="n"/>
      <c r="G27" s="244" t="n"/>
      <c r="H27" s="126" t="n"/>
      <c r="I27" s="184" t="inlineStr">
        <is>
          <t>②</t>
        </is>
      </c>
      <c r="J27" s="92" t="inlineStr">
        <is>
          <t>始業前点検</t>
        </is>
      </c>
      <c r="K27" s="121" t="n"/>
      <c r="M27" s="184" t="n"/>
    </row>
    <row r="28" ht="17.25" customHeight="1" s="15">
      <c r="A28" s="245" t="n">
        <v>46132</v>
      </c>
      <c r="B28" s="175" t="inlineStr">
        <is>
          <t>土砂積込み作業</t>
        </is>
      </c>
      <c r="C28" s="244" t="n"/>
      <c r="D28" s="118" t="n">
        <v>1</v>
      </c>
      <c r="E28" s="182" t="inlineStr">
        <is>
          <t>積込み確認</t>
        </is>
      </c>
      <c r="F28" s="243" t="n"/>
      <c r="G28" s="244" t="n"/>
      <c r="H28" s="126" t="inlineStr">
        <is>
          <t>中原</t>
        </is>
      </c>
      <c r="I28" s="184" t="inlineStr">
        <is>
          <t>③</t>
        </is>
      </c>
      <c r="J28" s="148" t="inlineStr">
        <is>
          <t>作業終了後の機体の清掃及び燃料補給</t>
        </is>
      </c>
      <c r="K28" s="121" t="n"/>
      <c r="M28" s="184" t="n"/>
    </row>
    <row r="29" ht="17.25" customHeight="1" s="15">
      <c r="A29" s="245" t="n">
        <v>46133</v>
      </c>
      <c r="B29" s="175" t="inlineStr">
        <is>
          <t>建設機械の管理及び点検・整備作業</t>
        </is>
      </c>
      <c r="C29" s="244" t="n"/>
      <c r="D29" s="118" t="n">
        <v>3</v>
      </c>
      <c r="E29" s="182" t="inlineStr">
        <is>
          <t>バケット交換</t>
        </is>
      </c>
      <c r="F29" s="243" t="n"/>
      <c r="G29" s="244" t="n"/>
      <c r="H29" s="126" t="inlineStr">
        <is>
          <t>中原</t>
        </is>
      </c>
      <c r="I29" s="184" t="inlineStr">
        <is>
          <t>2-(4)</t>
        </is>
      </c>
      <c r="J29" s="92" t="inlineStr">
        <is>
          <t>安全衛生業務</t>
        </is>
      </c>
      <c r="K29" s="149" t="n"/>
      <c r="M29" s="184" t="n"/>
    </row>
    <row r="30" ht="17.25" customHeight="1" s="15">
      <c r="A30" s="245" t="n">
        <v>46134</v>
      </c>
      <c r="B30" s="175" t="inlineStr">
        <is>
          <t>走行操作作業</t>
        </is>
      </c>
      <c r="C30" s="244" t="n"/>
      <c r="D30" s="118" t="n">
        <v>1</v>
      </c>
      <c r="E30" s="182" t="inlineStr">
        <is>
          <t>平坦地走行</t>
        </is>
      </c>
      <c r="F30" s="243" t="n"/>
      <c r="G30" s="244" t="n"/>
      <c r="H30" s="126" t="inlineStr">
        <is>
          <t>中原</t>
        </is>
      </c>
      <c r="I30" s="184" t="inlineStr">
        <is>
          <t>①</t>
        </is>
      </c>
      <c r="J30" s="148" t="inlineStr">
        <is>
          <t>雇入れ時等の安全衛生教育</t>
        </is>
      </c>
      <c r="K30" s="121" t="n"/>
      <c r="M30" s="184" t="n"/>
    </row>
    <row r="31" ht="17.25" customHeight="1" s="15">
      <c r="A31" s="245" t="n">
        <v>46135</v>
      </c>
      <c r="B31" s="175" t="inlineStr">
        <is>
          <t>休み</t>
        </is>
      </c>
      <c r="C31" s="244" t="n"/>
      <c r="D31" s="118" t="n"/>
      <c r="E31" s="182" t="n"/>
      <c r="F31" s="243" t="n"/>
      <c r="G31" s="244" t="n"/>
      <c r="H31" s="126" t="n"/>
      <c r="I31" s="184" t="inlineStr">
        <is>
          <t>②</t>
        </is>
      </c>
      <c r="J31" s="148" t="inlineStr">
        <is>
          <t>作業開始前の安全装置等の点検作業</t>
        </is>
      </c>
      <c r="K31" s="149" t="n"/>
      <c r="M31" s="184" t="n"/>
    </row>
    <row r="32" ht="17.25" customHeight="1" s="15">
      <c r="A32" s="245" t="n">
        <v>46136</v>
      </c>
      <c r="B32" s="175" t="inlineStr">
        <is>
          <t>休み</t>
        </is>
      </c>
      <c r="C32" s="244" t="n"/>
      <c r="D32" s="118" t="n"/>
      <c r="E32" s="176" t="n"/>
      <c r="F32" s="243" t="n"/>
      <c r="G32" s="244" t="n"/>
      <c r="H32" s="119" t="n"/>
      <c r="I32" s="184" t="inlineStr">
        <is>
          <t>③</t>
        </is>
      </c>
      <c r="J32" s="148" t="inlineStr">
        <is>
          <t>建設機械施工職種に必要な整理整頓作業</t>
        </is>
      </c>
      <c r="K32" s="149" t="n"/>
      <c r="M32" s="184" t="n"/>
    </row>
    <row r="33" ht="17.25" customHeight="1" s="15">
      <c r="A33" s="245" t="n">
        <v>46137</v>
      </c>
      <c r="B33" s="175" t="inlineStr">
        <is>
          <t>休み</t>
        </is>
      </c>
      <c r="C33" s="244" t="n"/>
      <c r="D33" s="118" t="n"/>
      <c r="E33" s="176" t="n"/>
      <c r="F33" s="243" t="n"/>
      <c r="G33" s="244" t="n"/>
      <c r="H33" s="119" t="n"/>
      <c r="I33" s="184" t="inlineStr">
        <is>
          <t>④</t>
        </is>
      </c>
      <c r="J33" s="148" t="inlineStr">
        <is>
          <t>建設機械施工職種の作業用機械及び周囲の安全確認作業</t>
        </is>
      </c>
      <c r="K33" s="149" t="n"/>
      <c r="M33" s="184" t="n"/>
    </row>
    <row r="34" ht="17.25" customHeight="1" s="15">
      <c r="A34" s="245" t="n">
        <v>46138</v>
      </c>
      <c r="B34" s="175" t="inlineStr">
        <is>
          <t>休み</t>
        </is>
      </c>
      <c r="C34" s="244" t="n"/>
      <c r="D34" s="118" t="n"/>
      <c r="E34" s="182" t="n"/>
      <c r="F34" s="243" t="n"/>
      <c r="G34" s="244" t="n"/>
      <c r="H34" s="126" t="n"/>
      <c r="I34" s="184" t="inlineStr">
        <is>
          <t>⑤</t>
        </is>
      </c>
      <c r="J34" s="148" t="inlineStr">
        <is>
          <t>保護具の着用と服装の安全点検作業</t>
        </is>
      </c>
      <c r="K34" s="149" t="n"/>
      <c r="M34" s="184" t="n"/>
    </row>
    <row r="35" ht="17.25" customHeight="1" s="15">
      <c r="A35" s="245" t="n">
        <v>46139</v>
      </c>
      <c r="B35" s="175" t="inlineStr">
        <is>
          <t>建設機械施工職種に必要な整理整頓作業</t>
        </is>
      </c>
      <c r="C35" s="244" t="n"/>
      <c r="D35" s="118" t="n">
        <v>2</v>
      </c>
      <c r="E35" s="182" t="inlineStr">
        <is>
          <t>現場整理</t>
        </is>
      </c>
      <c r="F35" s="243" t="n"/>
      <c r="G35" s="244" t="n"/>
      <c r="H35" s="126" t="inlineStr">
        <is>
          <t>中原</t>
        </is>
      </c>
      <c r="I35" s="184" t="inlineStr">
        <is>
          <t>⑥</t>
        </is>
      </c>
      <c r="J35" s="148" t="inlineStr">
        <is>
          <t>安全装置の使用等による作業</t>
        </is>
      </c>
      <c r="K35" s="149" t="n"/>
      <c r="M35" s="184" t="n"/>
    </row>
    <row r="36" ht="17.25" customHeight="1" s="15">
      <c r="A36" s="245" t="n">
        <v>46140</v>
      </c>
      <c r="B36" s="175" t="inlineStr">
        <is>
          <t>毎日整備</t>
        </is>
      </c>
      <c r="C36" s="244" t="n"/>
      <c r="D36" s="118" t="n">
        <v>1</v>
      </c>
      <c r="E36" s="182" t="inlineStr">
        <is>
          <t>目視点検</t>
        </is>
      </c>
      <c r="F36" s="243" t="n"/>
      <c r="G36" s="244" t="n"/>
      <c r="H36" s="126" t="inlineStr">
        <is>
          <t>中原</t>
        </is>
      </c>
      <c r="I36" s="184" t="inlineStr">
        <is>
          <t>⑦</t>
        </is>
      </c>
      <c r="J36" s="148" t="inlineStr">
        <is>
          <t>労働安全衛生上の有害性を防止するための作業</t>
        </is>
      </c>
      <c r="K36" s="149" t="n"/>
      <c r="M36" s="184" t="n"/>
    </row>
    <row r="37" ht="17.25" customHeight="1" s="15">
      <c r="A37" s="245" t="n">
        <v>46141</v>
      </c>
      <c r="B37" s="175" t="inlineStr">
        <is>
          <t>始業前点検</t>
        </is>
      </c>
      <c r="C37" s="244" t="n"/>
      <c r="D37" s="118" t="n">
        <v>1</v>
      </c>
      <c r="E37" s="182" t="inlineStr">
        <is>
          <t>備品確認</t>
        </is>
      </c>
      <c r="F37" s="243" t="n"/>
      <c r="G37" s="244" t="n"/>
      <c r="H37" s="126" t="inlineStr">
        <is>
          <t>中原</t>
        </is>
      </c>
      <c r="I37" s="184" t="inlineStr">
        <is>
          <t>⑧</t>
        </is>
      </c>
      <c r="J37" s="148" t="inlineStr">
        <is>
          <t>異常時の応急措置を習得するための作業</t>
        </is>
      </c>
      <c r="K37" s="149" t="n"/>
      <c r="M37" s="184" t="n"/>
    </row>
    <row r="38" ht="17.25" customHeight="1" s="15">
      <c r="A38" s="245" t="n">
        <v>46142</v>
      </c>
      <c r="B38" s="175" t="inlineStr">
        <is>
          <t>掘削作業</t>
        </is>
      </c>
      <c r="C38" s="244" t="n"/>
      <c r="D38" s="118" t="n">
        <v>3</v>
      </c>
      <c r="E38" s="182" t="inlineStr">
        <is>
          <t>補助作業</t>
        </is>
      </c>
      <c r="F38" s="243" t="n"/>
      <c r="G38" s="244" t="n"/>
      <c r="H38" s="126" t="inlineStr">
        <is>
          <t>中原</t>
        </is>
      </c>
      <c r="I38" s="184" t="inlineStr">
        <is>
          <t>3①</t>
        </is>
      </c>
      <c r="J38" s="148" t="inlineStr">
        <is>
          <t>押土整地作業</t>
        </is>
      </c>
      <c r="K38" s="149" t="n"/>
      <c r="M38" s="16" t="n">
        <v>3</v>
      </c>
    </row>
    <row r="39" ht="17.25" customHeight="1" s="15">
      <c r="A39" s="245" t="n"/>
      <c r="B39" s="175" t="n"/>
      <c r="C39" s="244" t="n"/>
      <c r="D39" s="118" t="n"/>
      <c r="E39" s="182" t="n"/>
      <c r="F39" s="243" t="n"/>
      <c r="G39" s="244" t="n"/>
      <c r="H39" s="126" t="n"/>
      <c r="I39" s="184" t="inlineStr">
        <is>
          <t>②</t>
        </is>
      </c>
      <c r="J39" s="92" t="inlineStr">
        <is>
          <t>積込み作業</t>
        </is>
      </c>
      <c r="K39" s="121" t="n"/>
      <c r="M39" s="184" t="n"/>
    </row>
    <row r="40" ht="13.5" customHeight="1" s="15">
      <c r="A40" s="94" t="inlineStr">
        <is>
          <t>(注意)</t>
        </is>
      </c>
      <c r="B40" s="92" t="n"/>
      <c r="C40" s="92" t="n"/>
      <c r="D40" s="92" t="n"/>
      <c r="E40" s="92" t="n"/>
      <c r="F40" s="92" t="n"/>
      <c r="G40" s="92" t="n"/>
      <c r="H40" s="92" t="n"/>
      <c r="I40" s="184" t="inlineStr">
        <is>
          <t>③</t>
        </is>
      </c>
      <c r="J40" s="92" t="inlineStr">
        <is>
          <t>締固め作業</t>
        </is>
      </c>
      <c r="K40" s="92" t="n"/>
    </row>
    <row r="41" ht="13.5" customHeight="1" s="15">
      <c r="A41" s="92" t="inlineStr">
        <is>
          <t xml:space="preserve">　　　　1　技能実習の区分、技能実習の期間、技能実習生に行わせる業務等が異なる場合は、分けて作成すること。</t>
        </is>
      </c>
      <c r="B41" s="92" t="n"/>
      <c r="C41" s="92" t="n"/>
      <c r="D41" s="92" t="n"/>
      <c r="E41" s="92" t="n"/>
      <c r="F41" s="92" t="n"/>
      <c r="G41" s="92" t="n"/>
      <c r="H41" s="92" t="n"/>
      <c r="I41" s="184" t="inlineStr">
        <is>
          <t>④</t>
        </is>
      </c>
      <c r="J41" s="92" t="inlineStr">
        <is>
          <t>建設機械施工管理作業</t>
        </is>
      </c>
      <c r="K41" s="92" t="n"/>
    </row>
    <row r="42" ht="13.5" customHeight="1" s="15">
      <c r="A42" s="92" t="inlineStr">
        <is>
          <t xml:space="preserve">　　　　2　技能実習生に従事させた業務の欄の右欄は、技能実習計画の実習実施予定表(別記様式第1号第4面から第6面まで)</t>
        </is>
      </c>
      <c r="B42" s="92" t="n"/>
      <c r="C42" s="92" t="n"/>
      <c r="D42" s="92" t="n"/>
      <c r="E42" s="92" t="n"/>
      <c r="F42" s="92" t="n"/>
      <c r="G42" s="92" t="n"/>
      <c r="H42" s="92" t="n"/>
      <c r="I42" s="184" t="inlineStr">
        <is>
          <t>⑤</t>
        </is>
      </c>
      <c r="J42" s="92" t="inlineStr">
        <is>
          <t>土工作業(対象職種・作業に係る手作業の作業）</t>
        </is>
      </c>
      <c r="K42" s="92" t="n"/>
    </row>
    <row r="43" ht="13.5" customHeight="1" s="15">
      <c r="A43" s="92" t="inlineStr">
        <is>
          <t xml:space="preserve">　　　　　の技能実習の内容欄の番号を記載すること。</t>
        </is>
      </c>
      <c r="B43" s="92" t="n"/>
      <c r="C43" s="92" t="n"/>
      <c r="D43" s="92" t="n"/>
      <c r="E43" s="92" t="n"/>
      <c r="F43" s="92" t="n"/>
      <c r="G43" s="92" t="n"/>
      <c r="H43" s="92" t="n"/>
      <c r="I43" s="184" t="inlineStr">
        <is>
          <t>⑥</t>
        </is>
      </c>
      <c r="J43" s="148" t="inlineStr">
        <is>
          <t>建設機械の管理及び点検・整備作業</t>
        </is>
      </c>
      <c r="K43" s="148" t="n"/>
    </row>
    <row r="44" ht="18" customHeight="1" s="15">
      <c r="I44" s="184" t="inlineStr">
        <is>
          <t>⑦</t>
        </is>
      </c>
      <c r="J44" s="92" t="inlineStr">
        <is>
          <t>各種揚重運搬機械の運転作業</t>
        </is>
      </c>
      <c r="K44" s="92" t="n"/>
    </row>
    <row r="45" ht="18" customHeight="1" s="15">
      <c r="I45" s="184" t="inlineStr">
        <is>
          <t>⑧</t>
        </is>
      </c>
      <c r="J45" s="148" t="inlineStr">
        <is>
          <t>玉掛け作業(特別教育又は技能講習が必要）</t>
        </is>
      </c>
    </row>
    <row r="46" ht="18" customHeight="1" s="15">
      <c r="I46" s="184" t="n">
        <v>5</v>
      </c>
      <c r="J46" s="148" t="inlineStr">
        <is>
          <t>建設機械の移送車両への積載及び移送作業</t>
        </is>
      </c>
    </row>
    <row r="47" ht="18" customHeight="1" s="15">
      <c r="J47" s="92" t="inlineStr">
        <is>
          <t>休み</t>
        </is>
      </c>
    </row>
  </sheetData>
  <mergeCells count="105">
    <mergeCell ref="E13:G13"/>
    <mergeCell ref="E31:G31"/>
    <mergeCell ref="B22:C22"/>
    <mergeCell ref="B31:C31"/>
    <mergeCell ref="E15:G15"/>
    <mergeCell ref="B12:C12"/>
    <mergeCell ref="B21:C21"/>
    <mergeCell ref="C4:G4"/>
    <mergeCell ref="M35:N35"/>
    <mergeCell ref="M10:N10"/>
    <mergeCell ref="E26:G26"/>
    <mergeCell ref="B14:C14"/>
    <mergeCell ref="M16:N16"/>
    <mergeCell ref="B13:C13"/>
    <mergeCell ref="E16:G16"/>
    <mergeCell ref="B38:C38"/>
    <mergeCell ref="M25:N25"/>
    <mergeCell ref="M36:N36"/>
    <mergeCell ref="E18:G18"/>
    <mergeCell ref="M33:N33"/>
    <mergeCell ref="M18:N18"/>
    <mergeCell ref="M8:N8"/>
    <mergeCell ref="M17:N17"/>
    <mergeCell ref="B24:C24"/>
    <mergeCell ref="B33:C33"/>
    <mergeCell ref="E35:G35"/>
    <mergeCell ref="B32:C32"/>
    <mergeCell ref="M19:N19"/>
    <mergeCell ref="B26:C26"/>
    <mergeCell ref="B35:C35"/>
    <mergeCell ref="E20:G20"/>
    <mergeCell ref="R1:V1"/>
    <mergeCell ref="E28:G28"/>
    <mergeCell ref="B16:C16"/>
    <mergeCell ref="B25:C25"/>
    <mergeCell ref="B8:D8"/>
    <mergeCell ref="R10:S10"/>
    <mergeCell ref="E30:G30"/>
    <mergeCell ref="B27:C27"/>
    <mergeCell ref="B18:C18"/>
    <mergeCell ref="E6:G6"/>
    <mergeCell ref="B11:C11"/>
    <mergeCell ref="M13:N13"/>
    <mergeCell ref="E32:G32"/>
    <mergeCell ref="M21:N21"/>
    <mergeCell ref="B29:C29"/>
    <mergeCell ref="D5:F5"/>
    <mergeCell ref="B37:C37"/>
    <mergeCell ref="M27:N27"/>
    <mergeCell ref="E24:G24"/>
    <mergeCell ref="M24:N24"/>
    <mergeCell ref="E33:G33"/>
    <mergeCell ref="B15:C15"/>
    <mergeCell ref="E8:G8"/>
    <mergeCell ref="E17:G17"/>
    <mergeCell ref="U10:V10"/>
    <mergeCell ref="E10:G10"/>
    <mergeCell ref="E19:G19"/>
    <mergeCell ref="M34:N34"/>
    <mergeCell ref="E34:G34"/>
    <mergeCell ref="E9:G9"/>
    <mergeCell ref="M9:N9"/>
    <mergeCell ref="M39:N39"/>
    <mergeCell ref="E36:G36"/>
    <mergeCell ref="E11:G11"/>
    <mergeCell ref="M11:N11"/>
    <mergeCell ref="T13:V13"/>
    <mergeCell ref="B17:C17"/>
    <mergeCell ref="M31:N31"/>
    <mergeCell ref="M15:N15"/>
    <mergeCell ref="E22:G22"/>
    <mergeCell ref="M12:N12"/>
    <mergeCell ref="U21:V21"/>
    <mergeCell ref="M37:N37"/>
    <mergeCell ref="E37:G37"/>
    <mergeCell ref="B34:C34"/>
    <mergeCell ref="B19:C19"/>
    <mergeCell ref="B28:C28"/>
    <mergeCell ref="E12:G12"/>
    <mergeCell ref="E21:G21"/>
    <mergeCell ref="B9:C9"/>
    <mergeCell ref="M26:N26"/>
    <mergeCell ref="B30:C30"/>
    <mergeCell ref="E14:G14"/>
    <mergeCell ref="M29:N29"/>
    <mergeCell ref="E23:G23"/>
    <mergeCell ref="M23:N23"/>
    <mergeCell ref="B20:C20"/>
    <mergeCell ref="B39:C39"/>
    <mergeCell ref="M20:N20"/>
    <mergeCell ref="E27:G27"/>
    <mergeCell ref="B23:C23"/>
    <mergeCell ref="E25:G25"/>
    <mergeCell ref="R21:S21"/>
    <mergeCell ref="M22:N22"/>
    <mergeCell ref="M30:N30"/>
    <mergeCell ref="R12:V12"/>
    <mergeCell ref="M28:N28"/>
    <mergeCell ref="B10:C10"/>
    <mergeCell ref="M32:N32"/>
    <mergeCell ref="E39:G39"/>
    <mergeCell ref="M14:N14"/>
    <mergeCell ref="B36:C36"/>
    <mergeCell ref="E29:G29"/>
    <mergeCell ref="E38:G38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:language>en-US</dc:language>
  <dcterms:created xsi:type="dcterms:W3CDTF">2023-09-02T00:36:30Z</dcterms:created>
  <dcterms:modified xsi:type="dcterms:W3CDTF">2026-06-05T02:26:16Z</dcterms:modified>
  <cp:lastModifiedBy>shun N</cp:lastModifiedBy>
  <cp:revision>0</cp:revision>
  <cp:lastPrinted>2026-02-03T01:38:23Z</cp:lastPrinted>
</cp:coreProperties>
</file>