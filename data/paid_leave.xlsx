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defaultThemeVersion="166925"/>
  <xr:revisionPtr revIDLastSave="0" documentId="13_ncr:1_{01ECBAA5-B841-4429-8FE1-F19C748ABBBA}" xr6:coauthVersionLast="47" xr6:coauthVersionMax="47" xr10:uidLastSave="{00000000-0000-0000-0000-000000000000}"/>
  <bookViews>
    <workbookView xWindow="-120" yWindow="-120" windowWidth="29040" windowHeight="15720" activeTab="6" xr2:uid="{00000000-000D-0000-FFFF-FFFF00000000}"/>
  </bookViews>
  <sheets>
    <sheet name="R8.有給一覧" sheetId="1" r:id="rId1"/>
    <sheet name="記入例" sheetId="2" r:id="rId2"/>
    <sheet name="有田" sheetId="3" r:id="rId3"/>
    <sheet name="中原裟也茄" sheetId="4" r:id="rId4"/>
    <sheet name="山田 一光" sheetId="5" r:id="rId5"/>
    <sheet name="中原 宏" sheetId="14" r:id="rId6"/>
    <sheet name="アルフィアン" sheetId="6" r:id="rId7"/>
    <sheet name="ディマス" sheetId="7" r:id="rId8"/>
    <sheet name="ヨザ" sheetId="8" r:id="rId9"/>
    <sheet name="リズキ" sheetId="9" r:id="rId10"/>
    <sheet name="山田" sheetId="10" r:id="rId11"/>
    <sheet name="菊川" sheetId="11" r:id="rId12"/>
    <sheet name="畑野" sheetId="12" r:id="rId13"/>
    <sheet name="濱津" sheetId="1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9" i="13" l="1"/>
  <c r="J29" i="13"/>
  <c r="I29" i="13"/>
  <c r="H29" i="13"/>
  <c r="G29" i="13"/>
  <c r="F29" i="13"/>
  <c r="E29" i="13"/>
  <c r="D29" i="13"/>
  <c r="C29" i="13"/>
  <c r="C5" i="13"/>
  <c r="K29" i="12"/>
  <c r="J29" i="12"/>
  <c r="I29" i="12"/>
  <c r="H29" i="12"/>
  <c r="G29" i="12"/>
  <c r="F29" i="12"/>
  <c r="E29" i="12"/>
  <c r="D29" i="12"/>
  <c r="C29" i="12"/>
  <c r="C5" i="12"/>
  <c r="H30" i="11"/>
  <c r="G30" i="11"/>
  <c r="E30" i="11"/>
  <c r="D30" i="11"/>
  <c r="C30" i="11"/>
  <c r="K29" i="11"/>
  <c r="J29" i="11"/>
  <c r="I29" i="11"/>
  <c r="H29" i="11"/>
  <c r="G29" i="11"/>
  <c r="F29" i="11"/>
  <c r="E29" i="11"/>
  <c r="D29" i="11"/>
  <c r="C29" i="11"/>
  <c r="C5" i="11"/>
  <c r="K29" i="10"/>
  <c r="J29" i="10"/>
  <c r="I29" i="10"/>
  <c r="H29" i="10"/>
  <c r="G29" i="10"/>
  <c r="F29" i="10"/>
  <c r="E29" i="10"/>
  <c r="D29" i="10"/>
  <c r="C29" i="10"/>
  <c r="C5" i="10"/>
  <c r="K29" i="9"/>
  <c r="J29" i="9"/>
  <c r="I29" i="9"/>
  <c r="H29" i="9"/>
  <c r="G29" i="9"/>
  <c r="F29" i="9"/>
  <c r="E29" i="9"/>
  <c r="D29" i="9"/>
  <c r="C29" i="9"/>
  <c r="C5" i="9"/>
  <c r="K29" i="8"/>
  <c r="J29" i="8"/>
  <c r="I29" i="8"/>
  <c r="H29" i="8"/>
  <c r="G29" i="8"/>
  <c r="F29" i="8"/>
  <c r="E29" i="8"/>
  <c r="D29" i="8"/>
  <c r="C29" i="8"/>
  <c r="C5" i="8"/>
  <c r="K30" i="7"/>
  <c r="J30" i="7"/>
  <c r="I30" i="7"/>
  <c r="K29" i="7"/>
  <c r="J29" i="7"/>
  <c r="I29" i="7"/>
  <c r="H29" i="7"/>
  <c r="G29" i="7"/>
  <c r="F29" i="7"/>
  <c r="E29" i="7"/>
  <c r="D29" i="7"/>
  <c r="C29" i="7"/>
  <c r="C5" i="7"/>
  <c r="K29" i="6"/>
  <c r="J29" i="6"/>
  <c r="I29" i="6"/>
  <c r="H29" i="6"/>
  <c r="G29" i="6"/>
  <c r="F29" i="6"/>
  <c r="E29" i="6"/>
  <c r="D29" i="6"/>
  <c r="C29" i="6"/>
  <c r="C5" i="6"/>
  <c r="C31" i="14"/>
  <c r="K29" i="14"/>
  <c r="J29" i="14"/>
  <c r="I29" i="14"/>
  <c r="H29" i="14"/>
  <c r="G29" i="14"/>
  <c r="F29" i="14"/>
  <c r="E29" i="14"/>
  <c r="D29" i="14"/>
  <c r="C29" i="14"/>
  <c r="C6" i="14"/>
  <c r="C5" i="14"/>
  <c r="K29" i="5"/>
  <c r="J29" i="5"/>
  <c r="I29" i="5"/>
  <c r="H29" i="5"/>
  <c r="G29" i="5"/>
  <c r="F29" i="5"/>
  <c r="E29" i="5"/>
  <c r="D29" i="5"/>
  <c r="C29" i="5"/>
  <c r="C5" i="5"/>
  <c r="K29" i="4"/>
  <c r="J29" i="4"/>
  <c r="I29" i="4"/>
  <c r="H29" i="4"/>
  <c r="G29" i="4"/>
  <c r="F29" i="4"/>
  <c r="E29" i="4"/>
  <c r="D29" i="4"/>
  <c r="C29" i="4"/>
  <c r="C5" i="4"/>
  <c r="K30" i="2"/>
  <c r="J30" i="2"/>
  <c r="I30" i="2"/>
  <c r="H30" i="2"/>
  <c r="G30" i="2"/>
  <c r="F30" i="2"/>
  <c r="E30" i="2"/>
  <c r="D30" i="2"/>
  <c r="C30" i="2"/>
  <c r="K29" i="2"/>
  <c r="J29" i="2"/>
  <c r="I29" i="2"/>
  <c r="H29" i="2"/>
  <c r="G29" i="2"/>
  <c r="F29" i="2"/>
  <c r="E29" i="2"/>
  <c r="D29" i="2"/>
  <c r="C29" i="2"/>
  <c r="C5" i="2"/>
  <c r="H15" i="1"/>
  <c r="C15" i="1"/>
  <c r="H14" i="1"/>
  <c r="C14" i="1"/>
  <c r="H13" i="1"/>
  <c r="F13" i="1"/>
  <c r="C13" i="1"/>
  <c r="H12" i="1"/>
  <c r="F12" i="1"/>
  <c r="C12" i="1"/>
  <c r="H11" i="1"/>
  <c r="F11" i="1"/>
  <c r="C11" i="1"/>
  <c r="H10" i="1"/>
  <c r="F10" i="1"/>
  <c r="C10" i="1"/>
  <c r="H9" i="1"/>
  <c r="C9" i="1"/>
  <c r="H8" i="1"/>
  <c r="F8" i="1"/>
  <c r="C8" i="1"/>
  <c r="H7" i="1"/>
  <c r="C7" i="1"/>
  <c r="H6" i="1"/>
  <c r="F6" i="1"/>
  <c r="C6" i="1"/>
  <c r="H5" i="1"/>
  <c r="F5" i="1"/>
  <c r="C5" i="1"/>
  <c r="H4" i="1"/>
  <c r="F4" i="1"/>
  <c r="C4" i="1"/>
  <c r="K1" i="1"/>
  <c r="N30" i="3"/>
  <c r="R29" i="3"/>
  <c r="Q29" i="3"/>
  <c r="P29" i="3"/>
  <c r="O29" i="3"/>
  <c r="M29" i="3"/>
  <c r="L29" i="3"/>
  <c r="K29" i="3"/>
  <c r="J29" i="3"/>
  <c r="I29" i="3"/>
  <c r="H29" i="3"/>
  <c r="G29" i="3"/>
  <c r="F29" i="3"/>
  <c r="E29" i="3"/>
  <c r="D29" i="3"/>
  <c r="C29" i="3"/>
  <c r="C5" i="3"/>
  <c r="F7" i="1" l="1"/>
  <c r="C31" i="13"/>
  <c r="K30" i="13"/>
  <c r="J30" i="13"/>
  <c r="I30" i="13"/>
  <c r="H30" i="13"/>
  <c r="G30" i="13"/>
  <c r="F30" i="13"/>
  <c r="E30" i="13"/>
  <c r="D30" i="13"/>
  <c r="C30" i="13"/>
  <c r="C6" i="13"/>
  <c r="C32" i="13" s="1"/>
  <c r="D5" i="13"/>
  <c r="G30" i="10"/>
  <c r="C31" i="9"/>
  <c r="J30" i="9"/>
  <c r="H30" i="9"/>
  <c r="E30" i="9"/>
  <c r="C30" i="9"/>
  <c r="D30" i="9" s="1"/>
  <c r="C31" i="6"/>
  <c r="I30" i="6"/>
  <c r="C30" i="6"/>
  <c r="I30" i="14"/>
  <c r="D30" i="14"/>
  <c r="D7" i="1"/>
  <c r="I6" i="1"/>
  <c r="C31" i="12"/>
  <c r="K30" i="12"/>
  <c r="J30" i="12"/>
  <c r="I30" i="12"/>
  <c r="H30" i="12"/>
  <c r="G30" i="12"/>
  <c r="F30" i="12"/>
  <c r="E30" i="12"/>
  <c r="D30" i="12"/>
  <c r="C30" i="12"/>
  <c r="C6" i="12"/>
  <c r="D5" i="12"/>
  <c r="C31" i="11"/>
  <c r="K30" i="11"/>
  <c r="J30" i="11"/>
  <c r="I30" i="11"/>
  <c r="F30" i="11"/>
  <c r="C31" i="10"/>
  <c r="K30" i="10"/>
  <c r="J30" i="10"/>
  <c r="I30" i="10"/>
  <c r="H30" i="10"/>
  <c r="F30" i="10"/>
  <c r="E30" i="10"/>
  <c r="C30" i="10"/>
  <c r="D30" i="10" s="1"/>
  <c r="C6" i="10"/>
  <c r="C32" i="10" s="1"/>
  <c r="K30" i="9"/>
  <c r="I30" i="9"/>
  <c r="G30" i="9"/>
  <c r="F30" i="9"/>
  <c r="C6" i="9"/>
  <c r="D5" i="9"/>
  <c r="C31" i="7"/>
  <c r="K30" i="6"/>
  <c r="G30" i="6"/>
  <c r="J30" i="14"/>
  <c r="G30" i="14"/>
  <c r="E30" i="14"/>
  <c r="D5" i="1"/>
  <c r="D4" i="1"/>
  <c r="C6" i="11"/>
  <c r="C32" i="11" s="1"/>
  <c r="D5" i="11"/>
  <c r="D10" i="1"/>
  <c r="D9" i="1"/>
  <c r="I8" i="1"/>
  <c r="D5" i="10"/>
  <c r="D6" i="1"/>
  <c r="I5" i="1"/>
  <c r="I4" i="1"/>
  <c r="C31" i="8"/>
  <c r="K30" i="8"/>
  <c r="J30" i="8"/>
  <c r="I30" i="8"/>
  <c r="H30" i="8"/>
  <c r="G30" i="8"/>
  <c r="F30" i="8"/>
  <c r="C30" i="8"/>
  <c r="D30" i="8" s="1"/>
  <c r="C6" i="8"/>
  <c r="C32" i="8" s="1"/>
  <c r="D5" i="8"/>
  <c r="D12" i="1"/>
  <c r="I11" i="1"/>
  <c r="H30" i="7"/>
  <c r="G30" i="7"/>
  <c r="F30" i="7"/>
  <c r="E30" i="7"/>
  <c r="C30" i="7"/>
  <c r="D30" i="7" s="1"/>
  <c r="C6" i="7"/>
  <c r="D5" i="7"/>
  <c r="D11" i="1"/>
  <c r="I10" i="1"/>
  <c r="C6" i="6"/>
  <c r="C32" i="6" s="1"/>
  <c r="D5" i="6"/>
  <c r="D8" i="1"/>
  <c r="I7" i="1"/>
  <c r="D5" i="14"/>
  <c r="C31" i="5"/>
  <c r="K30" i="5"/>
  <c r="J30" i="5"/>
  <c r="I30" i="5"/>
  <c r="H30" i="5"/>
  <c r="G30" i="5"/>
  <c r="F30" i="5"/>
  <c r="E30" i="5"/>
  <c r="C30" i="5"/>
  <c r="D30" i="5" s="1"/>
  <c r="C6" i="5"/>
  <c r="C32" i="5" s="1"/>
  <c r="D5" i="5"/>
  <c r="D14" i="1"/>
  <c r="I13" i="1"/>
  <c r="C31" i="4"/>
  <c r="K30" i="4"/>
  <c r="J30" i="4"/>
  <c r="I30" i="4"/>
  <c r="H30" i="4"/>
  <c r="G30" i="4"/>
  <c r="F30" i="4"/>
  <c r="E30" i="4"/>
  <c r="C30" i="4"/>
  <c r="D30" i="4" s="1"/>
  <c r="C6" i="4"/>
  <c r="C32" i="4" s="1"/>
  <c r="D5" i="4"/>
  <c r="C31" i="2"/>
  <c r="I17" i="1"/>
  <c r="D17" i="1"/>
  <c r="I16" i="1"/>
  <c r="D16" i="1"/>
  <c r="I15" i="1"/>
  <c r="C6" i="2"/>
  <c r="C32" i="2" s="1"/>
  <c r="D5" i="2"/>
  <c r="D15" i="1"/>
  <c r="I14" i="1"/>
  <c r="I9" i="1"/>
  <c r="C31" i="3"/>
  <c r="R30" i="3"/>
  <c r="Q30" i="3"/>
  <c r="P30" i="3"/>
  <c r="O30" i="3"/>
  <c r="M30" i="3"/>
  <c r="L30" i="3"/>
  <c r="K30" i="3"/>
  <c r="J30" i="3"/>
  <c r="I30" i="3"/>
  <c r="H30" i="3"/>
  <c r="G30" i="3"/>
  <c r="F30" i="3"/>
  <c r="E30" i="3"/>
  <c r="D30" i="3"/>
  <c r="C30" i="3"/>
  <c r="C6" i="3"/>
  <c r="C32" i="3" s="1"/>
  <c r="D5" i="3"/>
  <c r="J30" i="6"/>
  <c r="H30" i="6"/>
  <c r="D30" i="6"/>
  <c r="E30" i="6" s="1"/>
  <c r="F30" i="6" s="1"/>
  <c r="C32" i="14"/>
  <c r="K30" i="14"/>
  <c r="H30" i="14"/>
  <c r="F30" i="14"/>
  <c r="C30" i="14"/>
  <c r="D13" i="1"/>
  <c r="I12" i="1"/>
  <c r="E5" i="13" l="1"/>
  <c r="D6" i="13"/>
  <c r="D32" i="13" s="1"/>
  <c r="D31" i="13"/>
  <c r="C32" i="12"/>
  <c r="E13" i="1"/>
  <c r="E5" i="12"/>
  <c r="D6" i="12"/>
  <c r="D32" i="12" s="1"/>
  <c r="D31" i="12"/>
  <c r="C32" i="9"/>
  <c r="E10" i="1"/>
  <c r="E5" i="9"/>
  <c r="D6" i="9"/>
  <c r="D32" i="9" s="1"/>
  <c r="D31" i="9"/>
  <c r="E5" i="11"/>
  <c r="D6" i="11"/>
  <c r="D32" i="11" s="1"/>
  <c r="D31" i="11"/>
  <c r="E5" i="10"/>
  <c r="D6" i="10"/>
  <c r="D32" i="10" s="1"/>
  <c r="D31" i="10"/>
  <c r="E30" i="8"/>
  <c r="F9" i="1"/>
  <c r="E5" i="8"/>
  <c r="D6" i="8"/>
  <c r="D31" i="8"/>
  <c r="C32" i="7"/>
  <c r="E8" i="1"/>
  <c r="E5" i="7"/>
  <c r="D6" i="7"/>
  <c r="D32" i="7" s="1"/>
  <c r="D31" i="7"/>
  <c r="E5" i="6"/>
  <c r="D6" i="6"/>
  <c r="D31" i="6"/>
  <c r="E5" i="14"/>
  <c r="D6" i="14"/>
  <c r="D32" i="14" s="1"/>
  <c r="D31" i="14"/>
  <c r="E5" i="5"/>
  <c r="D6" i="5"/>
  <c r="D32" i="5" s="1"/>
  <c r="D31" i="5"/>
  <c r="E5" i="4"/>
  <c r="D6" i="4"/>
  <c r="D32" i="4" s="1"/>
  <c r="D31" i="4"/>
  <c r="E5" i="2"/>
  <c r="D6" i="2"/>
  <c r="D32" i="2" s="1"/>
  <c r="D31" i="2"/>
  <c r="E5" i="3"/>
  <c r="D6" i="3"/>
  <c r="D32" i="3" s="1"/>
  <c r="D31" i="3"/>
  <c r="F5" i="13" l="1"/>
  <c r="E6" i="13"/>
  <c r="E32" i="13" s="1"/>
  <c r="E31" i="13"/>
  <c r="F5" i="12"/>
  <c r="E6" i="12"/>
  <c r="E32" i="12" s="1"/>
  <c r="E31" i="12"/>
  <c r="F5" i="9"/>
  <c r="E6" i="9"/>
  <c r="E32" i="9" s="1"/>
  <c r="E31" i="9"/>
  <c r="F5" i="11"/>
  <c r="E6" i="11"/>
  <c r="E31" i="11"/>
  <c r="F5" i="10"/>
  <c r="E6" i="10"/>
  <c r="E32" i="10" s="1"/>
  <c r="E31" i="10"/>
  <c r="F5" i="8"/>
  <c r="E6" i="8"/>
  <c r="E32" i="8" s="1"/>
  <c r="E31" i="8"/>
  <c r="D32" i="8"/>
  <c r="E9" i="1"/>
  <c r="F5" i="7"/>
  <c r="E6" i="7"/>
  <c r="E32" i="7" s="1"/>
  <c r="E31" i="7"/>
  <c r="F5" i="6"/>
  <c r="E6" i="6"/>
  <c r="E32" i="6" s="1"/>
  <c r="E31" i="6"/>
  <c r="E7" i="1"/>
  <c r="D32" i="6"/>
  <c r="F5" i="14"/>
  <c r="E6" i="14"/>
  <c r="E32" i="14" s="1"/>
  <c r="E31" i="14"/>
  <c r="F5" i="5"/>
  <c r="E6" i="5"/>
  <c r="E32" i="5" s="1"/>
  <c r="E31" i="5"/>
  <c r="F5" i="4"/>
  <c r="E6" i="4"/>
  <c r="E32" i="4" s="1"/>
  <c r="E31" i="4"/>
  <c r="F5" i="2"/>
  <c r="E6" i="2"/>
  <c r="E32" i="2" s="1"/>
  <c r="E31" i="2"/>
  <c r="F5" i="3"/>
  <c r="E6" i="3"/>
  <c r="E32" i="3" s="1"/>
  <c r="E31" i="3"/>
  <c r="G5" i="13" l="1"/>
  <c r="F6" i="13"/>
  <c r="F32" i="13" s="1"/>
  <c r="F31" i="13"/>
  <c r="G5" i="12"/>
  <c r="F6" i="12"/>
  <c r="F32" i="12" s="1"/>
  <c r="F31" i="12"/>
  <c r="G5" i="9"/>
  <c r="F6" i="9"/>
  <c r="F32" i="9" s="1"/>
  <c r="F31" i="9"/>
  <c r="G5" i="11"/>
  <c r="F6" i="11"/>
  <c r="F32" i="11" s="1"/>
  <c r="F31" i="11"/>
  <c r="E32" i="11"/>
  <c r="E12" i="1"/>
  <c r="G5" i="10"/>
  <c r="F31" i="10"/>
  <c r="F6" i="10"/>
  <c r="F32" i="10" s="1"/>
  <c r="G5" i="8"/>
  <c r="F6" i="8"/>
  <c r="F32" i="8" s="1"/>
  <c r="F31" i="8"/>
  <c r="G5" i="7"/>
  <c r="F6" i="7"/>
  <c r="F32" i="7" s="1"/>
  <c r="F31" i="7"/>
  <c r="G5" i="6"/>
  <c r="F6" i="6"/>
  <c r="F32" i="6" s="1"/>
  <c r="F31" i="6"/>
  <c r="G5" i="14"/>
  <c r="F6" i="14"/>
  <c r="F32" i="14" s="1"/>
  <c r="F31" i="14"/>
  <c r="G5" i="5"/>
  <c r="F6" i="5"/>
  <c r="F31" i="5"/>
  <c r="G5" i="4"/>
  <c r="F6" i="4"/>
  <c r="F32" i="4" s="1"/>
  <c r="F31" i="4"/>
  <c r="G5" i="2"/>
  <c r="F6" i="2"/>
  <c r="F32" i="2" s="1"/>
  <c r="F31" i="2"/>
  <c r="G5" i="3"/>
  <c r="F6" i="3"/>
  <c r="F32" i="3" s="1"/>
  <c r="F31" i="3"/>
  <c r="H5" i="13" l="1"/>
  <c r="G6" i="13"/>
  <c r="G32" i="13" s="1"/>
  <c r="G31" i="13"/>
  <c r="H5" i="12"/>
  <c r="G6" i="12"/>
  <c r="G32" i="12" s="1"/>
  <c r="G31" i="12"/>
  <c r="H5" i="9"/>
  <c r="G6" i="9"/>
  <c r="G32" i="9" s="1"/>
  <c r="G31" i="9"/>
  <c r="H5" i="11"/>
  <c r="G6" i="11"/>
  <c r="G32" i="11" s="1"/>
  <c r="G31" i="11"/>
  <c r="H5" i="10"/>
  <c r="G6" i="10"/>
  <c r="G31" i="10"/>
  <c r="H5" i="8"/>
  <c r="G6" i="8"/>
  <c r="G32" i="8" s="1"/>
  <c r="G31" i="8"/>
  <c r="H5" i="7"/>
  <c r="G6" i="7"/>
  <c r="G32" i="7" s="1"/>
  <c r="G31" i="7"/>
  <c r="H5" i="6"/>
  <c r="G6" i="6"/>
  <c r="G32" i="6" s="1"/>
  <c r="G31" i="6"/>
  <c r="H5" i="14"/>
  <c r="G6" i="14"/>
  <c r="G32" i="14" s="1"/>
  <c r="G31" i="14"/>
  <c r="H5" i="5"/>
  <c r="G6" i="5"/>
  <c r="G32" i="5" s="1"/>
  <c r="G31" i="5"/>
  <c r="F32" i="5"/>
  <c r="E6" i="1"/>
  <c r="H5" i="4"/>
  <c r="G6" i="4"/>
  <c r="G31" i="4"/>
  <c r="H5" i="2"/>
  <c r="G6" i="2"/>
  <c r="G32" i="2" s="1"/>
  <c r="G31" i="2"/>
  <c r="H5" i="3"/>
  <c r="G6" i="3"/>
  <c r="G32" i="3" s="1"/>
  <c r="G31" i="3"/>
  <c r="I5" i="13" l="1"/>
  <c r="H6" i="13"/>
  <c r="H32" i="13" s="1"/>
  <c r="H31" i="13"/>
  <c r="I5" i="12"/>
  <c r="H6" i="12"/>
  <c r="H32" i="12" s="1"/>
  <c r="H31" i="12"/>
  <c r="I5" i="9"/>
  <c r="H6" i="9"/>
  <c r="H32" i="9" s="1"/>
  <c r="H31" i="9"/>
  <c r="I5" i="11"/>
  <c r="H6" i="11"/>
  <c r="H32" i="11" s="1"/>
  <c r="H31" i="11"/>
  <c r="I5" i="10"/>
  <c r="H31" i="10"/>
  <c r="H6" i="10"/>
  <c r="H32" i="10" s="1"/>
  <c r="G32" i="10"/>
  <c r="E11" i="1"/>
  <c r="I5" i="8"/>
  <c r="H6" i="8"/>
  <c r="H32" i="8" s="1"/>
  <c r="H31" i="8"/>
  <c r="I5" i="7"/>
  <c r="H6" i="7"/>
  <c r="H32" i="7" s="1"/>
  <c r="H31" i="7"/>
  <c r="I5" i="6"/>
  <c r="H6" i="6"/>
  <c r="H32" i="6" s="1"/>
  <c r="H31" i="6"/>
  <c r="I5" i="14"/>
  <c r="H6" i="14"/>
  <c r="H32" i="14" s="1"/>
  <c r="H31" i="14"/>
  <c r="I5" i="5"/>
  <c r="H6" i="5"/>
  <c r="H32" i="5" s="1"/>
  <c r="H31" i="5"/>
  <c r="I5" i="4"/>
  <c r="H6" i="4"/>
  <c r="H32" i="4" s="1"/>
  <c r="H31" i="4"/>
  <c r="G32" i="4"/>
  <c r="E5" i="1"/>
  <c r="I5" i="2"/>
  <c r="H6" i="2"/>
  <c r="H32" i="2" s="1"/>
  <c r="H31" i="2"/>
  <c r="I5" i="3"/>
  <c r="H6" i="3"/>
  <c r="H32" i="3" s="1"/>
  <c r="H31" i="3"/>
  <c r="J5" i="13" l="1"/>
  <c r="I6" i="13"/>
  <c r="I32" i="13" s="1"/>
  <c r="I31" i="13"/>
  <c r="J5" i="12"/>
  <c r="I6" i="12"/>
  <c r="I32" i="12" s="1"/>
  <c r="I31" i="12"/>
  <c r="J5" i="9"/>
  <c r="I6" i="9"/>
  <c r="I32" i="9" s="1"/>
  <c r="I31" i="9"/>
  <c r="J5" i="11"/>
  <c r="I6" i="11"/>
  <c r="I32" i="11" s="1"/>
  <c r="I31" i="11"/>
  <c r="J5" i="10"/>
  <c r="I6" i="10"/>
  <c r="I32" i="10" s="1"/>
  <c r="I31" i="10"/>
  <c r="J5" i="8"/>
  <c r="I6" i="8"/>
  <c r="I32" i="8" s="1"/>
  <c r="I31" i="8"/>
  <c r="J5" i="7"/>
  <c r="I6" i="7"/>
  <c r="I32" i="7" s="1"/>
  <c r="I31" i="7"/>
  <c r="J5" i="6"/>
  <c r="I6" i="6"/>
  <c r="I32" i="6" s="1"/>
  <c r="I31" i="6"/>
  <c r="J5" i="14"/>
  <c r="I6" i="14"/>
  <c r="I32" i="14" s="1"/>
  <c r="I31" i="14"/>
  <c r="J5" i="5"/>
  <c r="I6" i="5"/>
  <c r="I32" i="5" s="1"/>
  <c r="I31" i="5"/>
  <c r="J5" i="4"/>
  <c r="I6" i="4"/>
  <c r="I32" i="4" s="1"/>
  <c r="I31" i="4"/>
  <c r="J5" i="2"/>
  <c r="I6" i="2"/>
  <c r="I32" i="2" s="1"/>
  <c r="I31" i="2"/>
  <c r="J5" i="3"/>
  <c r="I6" i="3"/>
  <c r="I32" i="3" s="1"/>
  <c r="I31" i="3"/>
  <c r="K5" i="13" l="1"/>
  <c r="J6" i="13"/>
  <c r="J32" i="13" s="1"/>
  <c r="J31" i="13"/>
  <c r="K5" i="12"/>
  <c r="J6" i="12"/>
  <c r="J32" i="12" s="1"/>
  <c r="J31" i="12"/>
  <c r="K5" i="9"/>
  <c r="J6" i="9"/>
  <c r="J32" i="9" s="1"/>
  <c r="J31" i="9"/>
  <c r="K5" i="11"/>
  <c r="J6" i="11"/>
  <c r="J32" i="11" s="1"/>
  <c r="J31" i="11"/>
  <c r="K5" i="10"/>
  <c r="J6" i="10"/>
  <c r="J32" i="10" s="1"/>
  <c r="J31" i="10"/>
  <c r="K5" i="8"/>
  <c r="J6" i="8"/>
  <c r="J32" i="8" s="1"/>
  <c r="J31" i="8"/>
  <c r="K5" i="7"/>
  <c r="J6" i="7"/>
  <c r="J32" i="7" s="1"/>
  <c r="J31" i="7"/>
  <c r="K5" i="6"/>
  <c r="J6" i="6"/>
  <c r="J32" i="6" s="1"/>
  <c r="J31" i="6"/>
  <c r="J6" i="14"/>
  <c r="J32" i="14" s="1"/>
  <c r="J31" i="14"/>
  <c r="K5" i="14"/>
  <c r="K5" i="5"/>
  <c r="J6" i="5"/>
  <c r="J32" i="5" s="1"/>
  <c r="J31" i="5"/>
  <c r="K5" i="4"/>
  <c r="J6" i="4"/>
  <c r="J32" i="4" s="1"/>
  <c r="J31" i="4"/>
  <c r="K5" i="2"/>
  <c r="J6" i="2"/>
  <c r="J32" i="2" s="1"/>
  <c r="J31" i="2"/>
  <c r="K5" i="3"/>
  <c r="J6" i="3"/>
  <c r="J32" i="3" s="1"/>
  <c r="J31" i="3"/>
  <c r="K6" i="13" l="1"/>
  <c r="K32" i="13" s="1"/>
  <c r="G14" i="1" s="1"/>
  <c r="K31" i="13"/>
  <c r="K6" i="12"/>
  <c r="K32" i="12" s="1"/>
  <c r="K31" i="12"/>
  <c r="K6" i="9"/>
  <c r="K32" i="9" s="1"/>
  <c r="K31" i="9"/>
  <c r="K6" i="11"/>
  <c r="K32" i="11" s="1"/>
  <c r="K31" i="11"/>
  <c r="K31" i="10"/>
  <c r="K6" i="10"/>
  <c r="K32" i="10" s="1"/>
  <c r="G11" i="1" s="1"/>
  <c r="K6" i="8"/>
  <c r="K32" i="8" s="1"/>
  <c r="G9" i="1" s="1"/>
  <c r="K31" i="8"/>
  <c r="K6" i="7"/>
  <c r="K32" i="7" s="1"/>
  <c r="K31" i="7"/>
  <c r="K6" i="6"/>
  <c r="K32" i="6" s="1"/>
  <c r="K31" i="6"/>
  <c r="K6" i="14"/>
  <c r="K32" i="14" s="1"/>
  <c r="G15" i="1" s="1"/>
  <c r="K31" i="14"/>
  <c r="K6" i="5"/>
  <c r="K32" i="5" s="1"/>
  <c r="G6" i="1" s="1"/>
  <c r="K31" i="5"/>
  <c r="K6" i="4"/>
  <c r="K32" i="4" s="1"/>
  <c r="G5" i="1" s="1"/>
  <c r="K31" i="4"/>
  <c r="K6" i="2"/>
  <c r="K32" i="2" s="1"/>
  <c r="K31" i="2"/>
  <c r="L5" i="3"/>
  <c r="K6" i="3"/>
  <c r="K32" i="3" s="1"/>
  <c r="K31" i="3"/>
  <c r="M5" i="3" l="1"/>
  <c r="L6" i="3"/>
  <c r="L32" i="3" s="1"/>
  <c r="L31" i="3"/>
  <c r="G13" i="1"/>
  <c r="G10" i="1"/>
  <c r="G12" i="1"/>
  <c r="G8" i="1"/>
  <c r="G7" i="1"/>
  <c r="N5" i="3" l="1"/>
  <c r="M6" i="3"/>
  <c r="M32" i="3" s="1"/>
  <c r="M31" i="3"/>
  <c r="O5" i="3" l="1"/>
  <c r="N6" i="3"/>
  <c r="N32" i="3" s="1"/>
  <c r="N31" i="3"/>
  <c r="P5" i="3" l="1"/>
  <c r="O6" i="3"/>
  <c r="O32" i="3" s="1"/>
  <c r="O31" i="3"/>
  <c r="Q5" i="3" l="1"/>
  <c r="P6" i="3"/>
  <c r="P31" i="3"/>
  <c r="R5" i="3" l="1"/>
  <c r="Q6" i="3"/>
  <c r="Q32" i="3" s="1"/>
  <c r="Q31" i="3"/>
  <c r="P32" i="3"/>
  <c r="E4" i="1"/>
  <c r="R6" i="3" l="1"/>
  <c r="R32" i="3" s="1"/>
  <c r="G4" i="1" s="1"/>
  <c r="R3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12"/>
            <color indexed="81"/>
            <rFont val="ＭＳ Ｐゴシック"/>
            <family val="3"/>
            <charset val="128"/>
          </rPr>
          <t>黄色枠内に入力してください。</t>
        </r>
      </text>
    </comment>
    <comment ref="F5" authorId="0" shapeId="0" xr:uid="{00000000-0006-0000-0100-000002000000}">
      <text>
        <r>
          <rPr>
            <b/>
            <sz val="12"/>
            <color indexed="81"/>
            <rFont val="ＭＳ Ｐゴシック"/>
            <family val="3"/>
            <charset val="128"/>
          </rPr>
          <t>付与日は自動計算で表示されます。</t>
        </r>
      </text>
    </comment>
    <comment ref="A9" authorId="0" shapeId="0" xr:uid="{00000000-0006-0000-0100-000003000000}">
      <text>
        <r>
          <rPr>
            <b/>
            <sz val="14"/>
            <color indexed="81"/>
            <rFont val="ＭＳ Ｐゴシック"/>
            <family val="3"/>
            <charset val="128"/>
          </rPr>
          <t>付与日から使用期限の間で有休を使った日にちを左づめで入力してください。使用期限後は＼などで消して入力しないようにしてください。</t>
        </r>
        <r>
          <rPr>
            <b/>
            <sz val="9"/>
            <color indexed="81"/>
            <rFont val="ＭＳ Ｐゴシック"/>
            <family val="3"/>
            <charset val="128"/>
          </rPr>
          <t xml:space="preserve">
</t>
        </r>
      </text>
    </comment>
    <comment ref="C18" authorId="0" shapeId="0" xr:uid="{00000000-0006-0000-0100-000004000000}">
      <text>
        <r>
          <rPr>
            <b/>
            <sz val="12"/>
            <color indexed="81"/>
            <rFont val="ＭＳ Ｐゴシック"/>
            <family val="3"/>
            <charset val="128"/>
          </rPr>
          <t>使用期限日を過ぎたら、その枠には入力しないでください。使用期限日以降は
有休が余っていても時効消滅します。</t>
        </r>
      </text>
    </comment>
    <comment ref="A29" authorId="0" shapeId="0" xr:uid="{00000000-0006-0000-0100-000005000000}">
      <text>
        <r>
          <rPr>
            <b/>
            <sz val="12"/>
            <color indexed="81"/>
            <rFont val="ＭＳ Ｐゴシック"/>
            <family val="3"/>
            <charset val="128"/>
          </rPr>
          <t xml:space="preserve">有給使用日数が自動で計算されます。
</t>
        </r>
      </text>
    </comment>
    <comment ref="A30" authorId="0" shapeId="0" xr:uid="{00000000-0006-0000-0100-000006000000}">
      <text>
        <r>
          <rPr>
            <b/>
            <sz val="11"/>
            <color indexed="81"/>
            <rFont val="ＭＳ Ｐゴシック"/>
            <family val="3"/>
            <charset val="128"/>
          </rPr>
          <t>有給残日数が表示されます。</t>
        </r>
      </text>
    </comment>
    <comment ref="H30" authorId="0" shapeId="0" xr:uid="{00000000-0006-0000-0100-000007000000}">
      <text>
        <r>
          <rPr>
            <b/>
            <sz val="20"/>
            <color indexed="81"/>
            <rFont val="ＭＳ Ｐゴシック"/>
            <family val="3"/>
            <charset val="128"/>
          </rPr>
          <t>2018年10月29日時点の残日数は、14＋18＝32日です。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P9" authorId="0" shapeId="0" xr:uid="{00000000-0006-0000-0200-000001000000}">
      <text>
        <r>
          <rPr>
            <b/>
            <sz val="9"/>
            <color indexed="81"/>
            <rFont val="MS P ゴシック"/>
            <family val="3"/>
            <charset val="128"/>
          </rPr>
          <t>東輝 ICT:</t>
        </r>
        <r>
          <rPr>
            <sz val="9"/>
            <color indexed="81"/>
            <rFont val="MS P ゴシック"/>
            <family val="3"/>
            <charset val="128"/>
          </rPr>
          <t xml:space="preserve">
4/34と4/23の有給が入っていなかったので入れました　濱津</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11" authorId="0" shapeId="0" xr:uid="{00000000-0006-0000-0300-000001000000}">
      <text>
        <r>
          <rPr>
            <b/>
            <sz val="9"/>
            <color indexed="81"/>
            <rFont val="MS P ゴシック"/>
            <family val="3"/>
            <charset val="128"/>
          </rPr>
          <t>東輝 ICT:</t>
        </r>
        <r>
          <rPr>
            <sz val="9"/>
            <color indexed="81"/>
            <rFont val="MS P ゴシック"/>
            <family val="3"/>
            <charset val="128"/>
          </rPr>
          <t xml:space="preserve">
4/23・4/24・4/30有給記載がなかったので、登録しています　濱津　</t>
        </r>
      </text>
    </comment>
    <comment ref="E12" authorId="0" shapeId="0" xr:uid="{00000000-0006-0000-0300-000002000000}">
      <text>
        <r>
          <rPr>
            <b/>
            <sz val="9"/>
            <color indexed="81"/>
            <rFont val="MS P ゴシック"/>
            <family val="3"/>
            <charset val="128"/>
          </rPr>
          <t>東輝 ICT:</t>
        </r>
        <r>
          <rPr>
            <sz val="9"/>
            <color indexed="81"/>
            <rFont val="MS P ゴシック"/>
            <family val="3"/>
            <charset val="128"/>
          </rPr>
          <t xml:space="preserve">
ここに1900/01/0と記載があったので、使用数が4になっていた。サック除しています濱津</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9" authorId="0" shapeId="0" xr:uid="{00000000-0006-0000-0600-000001000000}">
      <text>
        <r>
          <rPr>
            <b/>
            <sz val="9"/>
            <color indexed="81"/>
            <rFont val="MS P ゴシック"/>
            <family val="3"/>
            <charset val="128"/>
          </rPr>
          <t>東輝 ICT:</t>
        </r>
        <r>
          <rPr>
            <sz val="9"/>
            <color indexed="81"/>
            <rFont val="MS P ゴシック"/>
            <family val="3"/>
            <charset val="128"/>
          </rPr>
          <t xml:space="preserve">
元データーは2024/2/19だった</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10" authorId="0" shapeId="0" xr:uid="{00000000-0006-0000-0A00-000001000000}">
      <text>
        <r>
          <rPr>
            <b/>
            <sz val="9"/>
            <color indexed="81"/>
            <rFont val="MS P ゴシック"/>
            <family val="3"/>
            <charset val="128"/>
          </rPr>
          <t>東輝 ICT:</t>
        </r>
        <r>
          <rPr>
            <sz val="9"/>
            <color indexed="81"/>
            <rFont val="MS P ゴシック"/>
            <family val="3"/>
            <charset val="128"/>
          </rPr>
          <t xml:space="preserve">
元データーは、2024/8/9が2回入力されていたので、1つ削除　濱津</t>
        </r>
      </text>
    </comment>
    <comment ref="G10" authorId="0" shapeId="0" xr:uid="{00000000-0006-0000-0A00-000002000000}">
      <text>
        <r>
          <rPr>
            <b/>
            <sz val="9"/>
            <color indexed="81"/>
            <rFont val="MS P ゴシック"/>
            <family val="3"/>
            <charset val="128"/>
          </rPr>
          <t>東輝 ICT:</t>
        </r>
        <r>
          <rPr>
            <sz val="9"/>
            <color indexed="81"/>
            <rFont val="MS P ゴシック"/>
            <family val="3"/>
            <charset val="128"/>
          </rPr>
          <t xml:space="preserve">
元データーへ2025/5/27・2025/5/28登録なし　濱津</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12" authorId="0" shapeId="0" xr:uid="{00000000-0006-0000-0B00-000001000000}">
      <text>
        <r>
          <rPr>
            <b/>
            <sz val="9"/>
            <color indexed="81"/>
            <rFont val="MS P ゴシック"/>
            <family val="3"/>
            <charset val="128"/>
          </rPr>
          <t>東輝 ICT:</t>
        </r>
        <r>
          <rPr>
            <sz val="9"/>
            <color indexed="81"/>
            <rFont val="MS P ゴシック"/>
            <family val="3"/>
            <charset val="128"/>
          </rPr>
          <t xml:space="preserve">
元データーは、2/28(土)だったので、27日へ訂正　濱津</t>
        </r>
      </text>
    </comment>
    <comment ref="D13" authorId="0" shapeId="0" xr:uid="{00000000-0006-0000-0B00-000002000000}">
      <text>
        <r>
          <rPr>
            <b/>
            <sz val="9"/>
            <color indexed="81"/>
            <rFont val="MS P ゴシック"/>
            <family val="3"/>
            <charset val="128"/>
          </rPr>
          <t>東輝 ICT:</t>
        </r>
        <r>
          <rPr>
            <sz val="9"/>
            <color indexed="81"/>
            <rFont val="MS P ゴシック"/>
            <family val="3"/>
            <charset val="128"/>
          </rPr>
          <t xml:space="preserve">
元データーへ登録なし　追加登録しています　濱津</t>
        </r>
      </text>
    </comment>
    <comment ref="C16" authorId="0" shapeId="0" xr:uid="{00000000-0006-0000-0B00-000003000000}">
      <text>
        <r>
          <rPr>
            <b/>
            <sz val="9"/>
            <color indexed="81"/>
            <rFont val="MS P ゴシック"/>
            <family val="3"/>
            <charset val="128"/>
          </rPr>
          <t>東輝 ICT:</t>
        </r>
        <r>
          <rPr>
            <sz val="9"/>
            <color indexed="81"/>
            <rFont val="MS P ゴシック"/>
            <family val="3"/>
            <charset val="128"/>
          </rPr>
          <t xml:space="preserve">
元データーは、1/18だった</t>
        </r>
      </text>
    </comment>
  </commentList>
</comments>
</file>

<file path=xl/sharedStrings.xml><?xml version="1.0" encoding="utf-8"?>
<sst xmlns="http://schemas.openxmlformats.org/spreadsheetml/2006/main" count="617" uniqueCount="105">
  <si>
    <t>令和8年度 有給休暇管理一覧表（最終確定版）</t>
  </si>
  <si>
    <t>基準日(本日):</t>
  </si>
  <si>
    <t>No</t>
  </si>
  <si>
    <t>氏名</t>
  </si>
  <si>
    <t>入社日</t>
  </si>
  <si>
    <t>次回付与日(起算日)</t>
  </si>
  <si>
    <t>繰越有給の失効日</t>
  </si>
  <si>
    <t>消滅予定日数</t>
  </si>
  <si>
    <t>現在保有日数(最大40日)</t>
  </si>
  <si>
    <t>今年使用日数(1/1-12/31)</t>
  </si>
  <si>
    <t>5日義務進捗</t>
  </si>
  <si>
    <t>備考</t>
  </si>
  <si>
    <t>No.1</t>
  </si>
  <si>
    <t>有田</t>
  </si>
  <si>
    <t>No.2</t>
  </si>
  <si>
    <t>中原裟也茄</t>
  </si>
  <si>
    <t>No.3</t>
  </si>
  <si>
    <t>山田 一光</t>
  </si>
  <si>
    <t>令和8年3月末退職</t>
  </si>
  <si>
    <t>No.4</t>
  </si>
  <si>
    <t>アルフィアン</t>
  </si>
  <si>
    <t>No.5</t>
  </si>
  <si>
    <t>ディマス</t>
  </si>
  <si>
    <t>No.6</t>
  </si>
  <si>
    <t>ヨザ</t>
  </si>
  <si>
    <t>No.7</t>
  </si>
  <si>
    <t>リズキ</t>
  </si>
  <si>
    <t>No.8</t>
  </si>
  <si>
    <t>山田</t>
  </si>
  <si>
    <t>No.9</t>
  </si>
  <si>
    <t>菊川</t>
  </si>
  <si>
    <t>No.10</t>
  </si>
  <si>
    <t>畑野</t>
  </si>
  <si>
    <t>No.11</t>
  </si>
  <si>
    <t>濱津</t>
  </si>
  <si>
    <t>-</t>
  </si>
  <si>
    <t>No.12</t>
  </si>
  <si>
    <t>中原 宏</t>
  </si>
  <si>
    <t>No.13</t>
  </si>
  <si>
    <t>No.14</t>
  </si>
  <si>
    <r>
      <t>※繰り越し有給休暇の失効日には、45日前に自動でセルを</t>
    </r>
    <r>
      <rPr>
        <b/>
        <sz val="11"/>
        <color rgb="FFFFC000"/>
        <rFont val="游ゴシック"/>
        <family val="3"/>
        <charset val="128"/>
        <scheme val="minor"/>
      </rPr>
      <t>オレンジ色</t>
    </r>
    <r>
      <rPr>
        <sz val="11"/>
        <color theme="1"/>
        <rFont val="游ゴシック"/>
        <family val="2"/>
        <charset val="128"/>
        <scheme val="minor"/>
      </rPr>
      <t>する「条件付き書式」がかかっています。</t>
    </r>
  </si>
  <si>
    <r>
      <t>条件1: 使用期限まで「</t>
    </r>
    <r>
      <rPr>
        <b/>
        <sz val="11"/>
        <color theme="1"/>
        <rFont val="游ゴシック"/>
        <family val="3"/>
        <charset val="128"/>
        <scheme val="minor"/>
      </rPr>
      <t>あと45日以内</t>
    </r>
    <r>
      <rPr>
        <sz val="11"/>
        <color theme="1"/>
        <rFont val="游ゴシック"/>
        <family val="2"/>
        <charset val="128"/>
        <scheme val="minor"/>
      </rPr>
      <t>」である</t>
    </r>
  </si>
  <si>
    <t>条件2: 使用期限をまだ過ぎていない（本日以降である）</t>
  </si>
  <si>
    <t>条件3: 消滅予定日数が「0日より多い」（＝まだ残っている）</t>
  </si>
  <si>
    <t>この3つが揃ったときだけ、セルが自動的にオレンジ色に染まります。</t>
  </si>
  <si>
    <t>年次有給休暇管理簿【フルタイム】</t>
  </si>
  <si>
    <t>氏名　</t>
  </si>
  <si>
    <t>○○　○○</t>
  </si>
  <si>
    <t>付与日</t>
  </si>
  <si>
    <t>使用期限（時効2年）</t>
  </si>
  <si>
    <t>入社から経過年数</t>
  </si>
  <si>
    <t>0.5年</t>
  </si>
  <si>
    <t>1.5年</t>
  </si>
  <si>
    <t>2.5年</t>
  </si>
  <si>
    <t>3.5年</t>
  </si>
  <si>
    <t>4.5年</t>
  </si>
  <si>
    <t>5.5年</t>
  </si>
  <si>
    <t>6.5年</t>
  </si>
  <si>
    <t>7.5年</t>
  </si>
  <si>
    <t>8.5年</t>
  </si>
  <si>
    <t>年次有給休暇付与日数</t>
  </si>
  <si>
    <t>使用日</t>
  </si>
  <si>
    <t>1日目</t>
  </si>
  <si>
    <t>2日目</t>
  </si>
  <si>
    <t>3日目</t>
  </si>
  <si>
    <t>4日目</t>
  </si>
  <si>
    <t>5日目</t>
  </si>
  <si>
    <t>6日目</t>
  </si>
  <si>
    <t>7日目</t>
  </si>
  <si>
    <t>8日目</t>
  </si>
  <si>
    <t>9日目</t>
  </si>
  <si>
    <t>10日目</t>
  </si>
  <si>
    <t>11日目</t>
  </si>
  <si>
    <t>12日目</t>
  </si>
  <si>
    <t>13日目</t>
  </si>
  <si>
    <t>14日目</t>
  </si>
  <si>
    <t>15日目</t>
  </si>
  <si>
    <t>16日目</t>
  </si>
  <si>
    <t>17日目</t>
  </si>
  <si>
    <t>18日目</t>
  </si>
  <si>
    <t>19日目</t>
  </si>
  <si>
    <t>20日目</t>
  </si>
  <si>
    <t>使用日数</t>
  </si>
  <si>
    <t>残日数</t>
  </si>
  <si>
    <t>※使用期限後は残日数があっても0になるので、＼などで消して見やすくしてください。</t>
  </si>
  <si>
    <t>有田忍</t>
  </si>
  <si>
    <t>R6.4/13分は半日のみ有給消化する</t>
  </si>
  <si>
    <t>9.5年</t>
  </si>
  <si>
    <t>10.5年</t>
  </si>
  <si>
    <t>11.5年</t>
  </si>
  <si>
    <t>12.5年</t>
  </si>
  <si>
    <t>13.5年</t>
  </si>
  <si>
    <t>14.5年</t>
  </si>
  <si>
    <t>15.5年</t>
  </si>
  <si>
    <t>山田一光</t>
  </si>
  <si>
    <t>年次有給休暇管理簿【パート】</t>
  </si>
  <si>
    <t>アルフィアン　ソレフル　ハディ</t>
  </si>
  <si>
    <t xml:space="preserve">   ※2026年の就業規則改正のため、実習生が一時帰国する場合は、有給が+5日される</t>
  </si>
  <si>
    <t>ディマス　サトリオ　ブアナ</t>
  </si>
  <si>
    <t>ムハンマド　ヨザテュル　イスラム</t>
  </si>
  <si>
    <t>リズキ　ノビアント</t>
  </si>
  <si>
    <t>山田ユカリ</t>
  </si>
  <si>
    <t>菊川裕美</t>
  </si>
  <si>
    <t>畑野　浩次</t>
  </si>
  <si>
    <t>濱津紀子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</si>
</sst>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numFmt numFmtId="177" formatCode="0_);[Red]\(0\)"/>
    <numFmt numFmtId="178" formatCode="0.0"/>
    <numFmt numFmtId="179" formatCode="0.0_ "/>
  </numFmts>
  <fonts count="32">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b/>
      <sz val="16"/>
      <name val="游ゴシック"/>
      <family val="3"/>
      <charset val="128"/>
    </font>
    <font>
      <b/>
      <sz val="11"/>
      <color theme="1"/>
      <name val="游ゴシック"/>
      <family val="3"/>
      <charset val="128"/>
      <scheme val="minor"/>
    </font>
    <font>
      <b/>
      <sz val="11"/>
      <color rgb="FFFF0000"/>
      <name val="游ゴシック"/>
      <family val="3"/>
      <charset val="128"/>
    </font>
    <font>
      <b/>
      <sz val="20"/>
      <color theme="1"/>
      <name val="游ゴシック"/>
      <family val="3"/>
      <charset val="128"/>
      <scheme val="minor"/>
    </font>
    <font>
      <b/>
      <sz val="11"/>
      <color rgb="FFFFFFFF"/>
      <name val="游ゴシック"/>
      <family val="3"/>
      <charset val="128"/>
    </font>
    <font>
      <b/>
      <sz val="11"/>
      <color rgb="FFFFFFFF"/>
      <name val="游ゴシック"/>
      <family val="3"/>
      <charset val="128"/>
      <scheme val="minor"/>
    </font>
    <font>
      <sz val="11"/>
      <color theme="1"/>
      <name val="HG丸ｺﾞｼｯｸM-PRO"/>
      <family val="3"/>
      <charset val="128"/>
    </font>
    <font>
      <sz val="9"/>
      <color theme="1"/>
      <name val="HG丸ｺﾞｼｯｸM-PRO"/>
      <family val="3"/>
      <charset val="128"/>
    </font>
    <font>
      <sz val="14"/>
      <color theme="1"/>
      <name val="HG丸ｺﾞｼｯｸM-PRO"/>
      <family val="3"/>
      <charset val="128"/>
    </font>
    <font>
      <sz val="10"/>
      <color theme="1"/>
      <name val="HG丸ｺﾞｼｯｸM-PRO"/>
      <family val="3"/>
      <charset val="128"/>
    </font>
    <font>
      <sz val="9"/>
      <name val="HG丸ｺﾞｼｯｸM-PRO"/>
      <family val="3"/>
      <charset val="128"/>
    </font>
    <font>
      <sz val="8"/>
      <name val="HG丸ｺﾞｼｯｸM-PRO"/>
      <family val="3"/>
      <charset val="128"/>
    </font>
    <font>
      <sz val="8"/>
      <color theme="1"/>
      <name val="HG丸ｺﾞｼｯｸM-PRO"/>
      <family val="3"/>
      <charset val="128"/>
    </font>
    <font>
      <sz val="6"/>
      <color rgb="FFFF0000"/>
      <name val="HG丸ｺﾞｼｯｸM-PRO"/>
      <family val="3"/>
      <charset val="128"/>
    </font>
    <font>
      <sz val="11"/>
      <color rgb="FF0070C0"/>
      <name val="HG丸ｺﾞｼｯｸM-PRO"/>
      <family val="3"/>
      <charset val="128"/>
    </font>
    <font>
      <sz val="9"/>
      <color rgb="FF0070C0"/>
      <name val="HG丸ｺﾞｼｯｸM-PRO"/>
      <family val="3"/>
      <charset val="128"/>
    </font>
    <font>
      <sz val="14"/>
      <color rgb="FFFF0000"/>
      <name val="HG丸ｺﾞｼｯｸM-PRO"/>
      <family val="3"/>
      <charset val="128"/>
    </font>
    <font>
      <sz val="6"/>
      <color theme="1"/>
      <name val="HG丸ｺﾞｼｯｸM-PRO"/>
      <family val="3"/>
      <charset val="128"/>
    </font>
    <font>
      <b/>
      <sz val="11"/>
      <color rgb="FF00B050"/>
      <name val="HG丸ｺﾞｼｯｸM-PRO"/>
      <family val="3"/>
      <charset val="128"/>
    </font>
    <font>
      <sz val="8"/>
      <color rgb="FFFF0000"/>
      <name val="HG丸ｺﾞｼｯｸM-PRO"/>
      <family val="3"/>
      <charset val="128"/>
    </font>
    <font>
      <b/>
      <sz val="11"/>
      <color rgb="FFFFC000"/>
      <name val="游ゴシック"/>
      <family val="3"/>
      <charset val="128"/>
      <scheme val="minor"/>
    </font>
    <font>
      <b/>
      <sz val="9"/>
      <color indexed="81"/>
      <name val="MS P ゴシック"/>
      <family val="3"/>
      <charset val="128"/>
    </font>
    <font>
      <sz val="9"/>
      <color indexed="81"/>
      <name val="MS P ゴシック"/>
      <family val="3"/>
      <charset val="128"/>
    </font>
    <font>
      <b/>
      <sz val="12"/>
      <color indexed="81"/>
      <name val="ＭＳ Ｐゴシック"/>
      <family val="3"/>
      <charset val="128"/>
    </font>
    <font>
      <b/>
      <sz val="14"/>
      <color indexed="81"/>
      <name val="ＭＳ Ｐゴシック"/>
      <family val="3"/>
      <charset val="128"/>
    </font>
    <font>
      <b/>
      <sz val="9"/>
      <color indexed="81"/>
      <name val="ＭＳ Ｐゴシック"/>
      <family val="3"/>
      <charset val="128"/>
    </font>
    <font>
      <b/>
      <sz val="11"/>
      <color indexed="81"/>
      <name val="ＭＳ Ｐゴシック"/>
      <family val="3"/>
      <charset val="128"/>
    </font>
    <font>
      <b/>
      <sz val="20"/>
      <color indexed="81"/>
      <name val="ＭＳ Ｐゴシック"/>
      <family val="3"/>
      <charset val="128"/>
    </font>
    <font>
      <sz val="6"/>
      <name val="游ゴシック"/>
      <family val="3"/>
      <charset val="128"/>
      <scheme val="minor"/>
    </font>
  </fonts>
  <fills count="10">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4F81BD"/>
        <bgColor rgb="FF4F81BD"/>
      </patternFill>
    </fill>
    <fill>
      <patternFill patternType="solid">
        <fgColor rgb="FFB854B1"/>
        <bgColor rgb="FF4F81BD"/>
      </patternFill>
    </fill>
    <fill>
      <patternFill patternType="solid">
        <fgColor theme="0"/>
        <bgColor rgb="FF4F81BD"/>
      </patternFill>
    </fill>
    <fill>
      <patternFill patternType="solid">
        <fgColor rgb="FFFFFFCC"/>
        <bgColor indexed="64"/>
      </patternFill>
    </fill>
    <fill>
      <patternFill patternType="solid">
        <fgColor theme="0" tint="-0.34998626667073579"/>
        <bgColor indexed="64"/>
      </patternFill>
    </fill>
    <fill>
      <patternFill patternType="solid">
        <fgColor rgb="FFFFFF00"/>
        <bgColor indexed="64"/>
      </patternFill>
    </fill>
  </fills>
  <borders count="4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style="dotted">
        <color indexed="64"/>
      </bottom>
      <diagonal/>
    </border>
    <border>
      <left style="medium">
        <color indexed="64"/>
      </left>
      <right style="medium">
        <color indexed="64"/>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top/>
      <bottom/>
      <diagonal/>
    </border>
    <border>
      <left/>
      <right style="medium">
        <color indexed="64"/>
      </right>
      <top style="dotted">
        <color indexed="64"/>
      </top>
      <bottom style="dotted">
        <color indexed="64"/>
      </bottom>
      <diagonal/>
    </border>
    <border>
      <left style="medium">
        <color indexed="64"/>
      </left>
      <right style="medium">
        <color indexed="64"/>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bottom style="dashed">
        <color indexed="64"/>
      </bottom>
      <diagonal/>
    </border>
    <border>
      <left/>
      <right style="medium">
        <color indexed="64"/>
      </right>
      <top style="dotted">
        <color indexed="64"/>
      </top>
      <bottom style="medium">
        <color indexed="64"/>
      </bottom>
      <diagonal/>
    </border>
    <border>
      <left style="medium">
        <color indexed="64"/>
      </left>
      <right style="medium">
        <color indexed="64"/>
      </right>
      <top style="dashed">
        <color indexed="64"/>
      </top>
      <bottom/>
      <diagonal/>
    </border>
    <border>
      <left/>
      <right style="medium">
        <color indexed="64"/>
      </right>
      <top style="dashed">
        <color indexed="64"/>
      </top>
      <bottom/>
      <diagonal/>
    </border>
    <border>
      <left/>
      <right style="medium">
        <color indexed="64"/>
      </right>
      <top style="medium">
        <color indexed="64"/>
      </top>
      <bottom style="thin">
        <color indexed="64"/>
      </bottom>
      <diagonal/>
    </border>
    <border>
      <left/>
      <right/>
      <top style="thin">
        <color indexed="64"/>
      </top>
      <bottom/>
      <diagonal/>
    </border>
    <border>
      <left style="medium">
        <color indexed="64"/>
      </left>
      <right style="medium">
        <color indexed="64"/>
      </right>
      <top style="dashed">
        <color indexed="64"/>
      </top>
      <bottom style="hair">
        <color indexed="64"/>
      </bottom>
      <diagonal/>
    </border>
    <border>
      <left style="medium">
        <color indexed="64"/>
      </left>
      <right style="medium">
        <color indexed="64"/>
      </right>
      <top style="hair">
        <color indexed="64"/>
      </top>
      <bottom style="dashed">
        <color indexed="64"/>
      </bottom>
      <diagonal/>
    </border>
    <border>
      <left style="medium">
        <color indexed="64"/>
      </left>
      <right style="medium">
        <color indexed="64"/>
      </right>
      <top style="dash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dotted">
        <color indexed="64"/>
      </top>
      <bottom style="dashed">
        <color indexed="64"/>
      </bottom>
      <diagonal/>
    </border>
    <border>
      <left style="medium">
        <color indexed="64"/>
      </left>
      <right style="medium">
        <color indexed="64"/>
      </right>
      <top/>
      <bottom/>
      <diagonal/>
    </border>
    <border>
      <left/>
      <right/>
      <top style="medium">
        <color indexed="64"/>
      </top>
      <bottom style="medium">
        <color indexed="64"/>
      </bottom>
      <diagonal/>
    </border>
  </borders>
  <cellStyleXfs count="1">
    <xf numFmtId="0" fontId="0" fillId="0" borderId="0"/>
  </cellStyleXfs>
  <cellXfs count="157">
    <xf numFmtId="0" fontId="0" fillId="0" borderId="0" xfId="0"/>
    <xf numFmtId="0" fontId="2" fillId="0" borderId="0" xfId="0" applyFont="1"/>
    <xf numFmtId="0" fontId="3" fillId="0" borderId="0" xfId="0" applyFont="1"/>
    <xf numFmtId="0" fontId="2" fillId="2" borderId="0" xfId="0" applyFont="1" applyFill="1" applyAlignment="1">
      <alignment horizontal="center" vertical="center"/>
    </xf>
    <xf numFmtId="14" fontId="2" fillId="2" borderId="0" xfId="0" applyNumberFormat="1" applyFont="1" applyFill="1" applyAlignment="1">
      <alignment horizontal="center" vertical="center"/>
    </xf>
    <xf numFmtId="0" fontId="4" fillId="3" borderId="0" xfId="0" applyFont="1" applyFill="1" applyAlignment="1">
      <alignment horizontal="center" vertical="center"/>
    </xf>
    <xf numFmtId="176" fontId="5" fillId="3" borderId="0" xfId="0" applyNumberFormat="1" applyFont="1" applyFill="1" applyAlignment="1">
      <alignment horizontal="center"/>
    </xf>
    <xf numFmtId="0" fontId="6" fillId="0" borderId="0" xfId="0" applyFont="1" applyAlignment="1">
      <alignment vertical="center"/>
    </xf>
    <xf numFmtId="0" fontId="7" fillId="4" borderId="1" xfId="0" applyFont="1" applyFill="1" applyBorder="1" applyAlignment="1">
      <alignment horizontal="center" vertical="center"/>
    </xf>
    <xf numFmtId="176" fontId="7" fillId="4" borderId="1" xfId="0" applyNumberFormat="1" applyFont="1" applyFill="1" applyBorder="1" applyAlignment="1">
      <alignment horizontal="center" vertical="center"/>
    </xf>
    <xf numFmtId="176" fontId="7" fillId="5" borderId="1" xfId="0" applyNumberFormat="1" applyFont="1" applyFill="1" applyBorder="1" applyAlignment="1">
      <alignment horizontal="center" vertical="center"/>
    </xf>
    <xf numFmtId="0" fontId="8" fillId="6" borderId="0" xfId="0" applyFont="1" applyFill="1" applyAlignment="1">
      <alignment horizontal="center"/>
    </xf>
    <xf numFmtId="0" fontId="2" fillId="0" borderId="1" xfId="0" applyFont="1" applyBorder="1" applyAlignment="1">
      <alignment horizontal="center" vertical="center"/>
    </xf>
    <xf numFmtId="176" fontId="2" fillId="0" borderId="1" xfId="0" applyNumberFormat="1" applyFont="1" applyBorder="1" applyAlignment="1">
      <alignment horizontal="center" vertical="center"/>
    </xf>
    <xf numFmtId="177" fontId="2" fillId="0" borderId="1" xfId="0" applyNumberFormat="1"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176" fontId="2" fillId="0" borderId="5" xfId="0" applyNumberFormat="1" applyFont="1" applyBorder="1" applyAlignment="1">
      <alignment horizontal="center" vertical="center"/>
    </xf>
    <xf numFmtId="49" fontId="2" fillId="0" borderId="5" xfId="0" applyNumberFormat="1"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176" fontId="2" fillId="0" borderId="7" xfId="0" applyNumberFormat="1" applyFont="1" applyBorder="1" applyAlignment="1">
      <alignment horizontal="center" vertical="center"/>
    </xf>
    <xf numFmtId="49" fontId="2" fillId="0" borderId="7" xfId="0" applyNumberFormat="1" applyFont="1" applyBorder="1" applyAlignment="1">
      <alignment horizontal="center" vertical="center"/>
    </xf>
    <xf numFmtId="0" fontId="2" fillId="0" borderId="4" xfId="0" applyFont="1" applyBorder="1" applyAlignment="1">
      <alignment vertical="center"/>
    </xf>
    <xf numFmtId="176" fontId="2" fillId="0" borderId="4" xfId="0" applyNumberFormat="1" applyFont="1" applyBorder="1" applyAlignment="1">
      <alignment vertical="center"/>
    </xf>
    <xf numFmtId="176" fontId="2" fillId="0" borderId="4" xfId="0" applyNumberFormat="1" applyFont="1" applyBorder="1" applyAlignment="1">
      <alignment horizontal="center" vertical="center"/>
    </xf>
    <xf numFmtId="49" fontId="2" fillId="0" borderId="4" xfId="0" applyNumberFormat="1" applyFont="1" applyBorder="1" applyAlignment="1">
      <alignment vertical="center"/>
    </xf>
    <xf numFmtId="0" fontId="2" fillId="0" borderId="0" xfId="0" applyFont="1" applyAlignment="1">
      <alignment horizontal="left" vertical="center"/>
    </xf>
    <xf numFmtId="0" fontId="9" fillId="0" borderId="0" xfId="0" applyFont="1" applyAlignment="1">
      <alignment vertical="center"/>
    </xf>
    <xf numFmtId="0" fontId="10" fillId="0" borderId="0" xfId="0" applyFont="1" applyAlignment="1">
      <alignment horizontal="center" vertical="center"/>
    </xf>
    <xf numFmtId="0" fontId="11" fillId="0" borderId="0" xfId="0" applyFont="1" applyAlignment="1">
      <alignment vertical="center"/>
    </xf>
    <xf numFmtId="0" fontId="9" fillId="0" borderId="8" xfId="0" applyFont="1" applyBorder="1" applyAlignment="1">
      <alignment vertical="center"/>
    </xf>
    <xf numFmtId="0" fontId="9" fillId="0" borderId="0" xfId="0" applyFont="1" applyAlignment="1">
      <alignment horizontal="left" vertical="center"/>
    </xf>
    <xf numFmtId="0" fontId="10" fillId="0" borderId="0" xfId="0" applyFont="1" applyAlignment="1">
      <alignment horizontal="left" vertical="center"/>
    </xf>
    <xf numFmtId="14" fontId="13" fillId="0" borderId="13" xfId="0" applyNumberFormat="1" applyFont="1" applyBorder="1" applyAlignment="1">
      <alignment horizontal="right" vertical="center"/>
    </xf>
    <xf numFmtId="14" fontId="13" fillId="0" borderId="16" xfId="0" applyNumberFormat="1" applyFont="1" applyBorder="1" applyAlignment="1">
      <alignment horizontal="right" vertical="center"/>
    </xf>
    <xf numFmtId="14" fontId="13" fillId="0" borderId="17" xfId="0" applyNumberFormat="1" applyFont="1" applyBorder="1" applyAlignment="1">
      <alignment horizontal="right" vertical="center"/>
    </xf>
    <xf numFmtId="0" fontId="9" fillId="0" borderId="16" xfId="0" applyFont="1" applyBorder="1" applyAlignment="1">
      <alignment horizontal="right" vertical="center"/>
    </xf>
    <xf numFmtId="0" fontId="9" fillId="0" borderId="17" xfId="0" applyFont="1" applyBorder="1" applyAlignment="1">
      <alignment horizontal="right" vertical="center"/>
    </xf>
    <xf numFmtId="0" fontId="9" fillId="0" borderId="20" xfId="0" applyFont="1" applyBorder="1" applyAlignment="1">
      <alignment horizontal="right" vertical="center"/>
    </xf>
    <xf numFmtId="0" fontId="9" fillId="0" borderId="21" xfId="0" applyFont="1" applyBorder="1" applyAlignment="1">
      <alignment horizontal="right" vertical="center"/>
    </xf>
    <xf numFmtId="0" fontId="10" fillId="0" borderId="23" xfId="0" applyFont="1" applyBorder="1" applyAlignment="1">
      <alignment horizontal="center" vertical="center"/>
    </xf>
    <xf numFmtId="14" fontId="14" fillId="7" borderId="24" xfId="0" applyNumberFormat="1" applyFont="1" applyFill="1" applyBorder="1" applyAlignment="1">
      <alignment horizontal="right" vertical="center"/>
    </xf>
    <xf numFmtId="14" fontId="15" fillId="7" borderId="24" xfId="0" applyNumberFormat="1" applyFont="1" applyFill="1" applyBorder="1" applyAlignment="1">
      <alignment horizontal="right" vertical="center"/>
    </xf>
    <xf numFmtId="14" fontId="15" fillId="7" borderId="25" xfId="0" applyNumberFormat="1" applyFont="1" applyFill="1" applyBorder="1" applyAlignment="1">
      <alignment horizontal="right" vertical="center"/>
    </xf>
    <xf numFmtId="0" fontId="10" fillId="0" borderId="27" xfId="0" applyFont="1" applyBorder="1" applyAlignment="1">
      <alignment horizontal="center" vertical="center"/>
    </xf>
    <xf numFmtId="14" fontId="14" fillId="7" borderId="28" xfId="0" applyNumberFormat="1" applyFont="1" applyFill="1" applyBorder="1" applyAlignment="1">
      <alignment horizontal="right" vertical="center"/>
    </xf>
    <xf numFmtId="14" fontId="15" fillId="7" borderId="28" xfId="0" applyNumberFormat="1" applyFont="1" applyFill="1" applyBorder="1" applyAlignment="1">
      <alignment horizontal="right" vertical="center"/>
    </xf>
    <xf numFmtId="14" fontId="15" fillId="7" borderId="29" xfId="0" applyNumberFormat="1" applyFont="1" applyFill="1" applyBorder="1" applyAlignment="1">
      <alignment horizontal="right" vertical="center"/>
    </xf>
    <xf numFmtId="14" fontId="14" fillId="7" borderId="30" xfId="0" applyNumberFormat="1" applyFont="1" applyFill="1" applyBorder="1" applyAlignment="1">
      <alignment horizontal="right" vertical="center"/>
    </xf>
    <xf numFmtId="14" fontId="16" fillId="8" borderId="31" xfId="0" applyNumberFormat="1" applyFont="1" applyFill="1" applyBorder="1" applyAlignment="1">
      <alignment horizontal="right" vertical="center"/>
    </xf>
    <xf numFmtId="14" fontId="9" fillId="8" borderId="28" xfId="0" applyNumberFormat="1" applyFont="1" applyFill="1" applyBorder="1" applyAlignment="1">
      <alignment horizontal="right" vertical="center"/>
    </xf>
    <xf numFmtId="14" fontId="15" fillId="7" borderId="30" xfId="0" applyNumberFormat="1" applyFont="1" applyFill="1" applyBorder="1" applyAlignment="1">
      <alignment horizontal="right" vertical="center"/>
    </xf>
    <xf numFmtId="0" fontId="15" fillId="7" borderId="28" xfId="0" applyFont="1" applyFill="1" applyBorder="1" applyAlignment="1">
      <alignment horizontal="right" vertical="center"/>
    </xf>
    <xf numFmtId="0" fontId="15" fillId="7" borderId="29" xfId="0" applyFont="1" applyFill="1" applyBorder="1" applyAlignment="1">
      <alignment horizontal="right" vertical="center"/>
    </xf>
    <xf numFmtId="0" fontId="15" fillId="7" borderId="30" xfId="0" applyFont="1" applyFill="1" applyBorder="1" applyAlignment="1">
      <alignment horizontal="right" vertical="center"/>
    </xf>
    <xf numFmtId="0" fontId="10" fillId="0" borderId="32" xfId="0" applyFont="1" applyBorder="1" applyAlignment="1">
      <alignment horizontal="center" vertical="center"/>
    </xf>
    <xf numFmtId="0" fontId="9" fillId="8" borderId="33" xfId="0" applyFont="1" applyFill="1" applyBorder="1" applyAlignment="1">
      <alignment horizontal="right" vertical="center"/>
    </xf>
    <xf numFmtId="0" fontId="15" fillId="7" borderId="33" xfId="0" applyFont="1" applyFill="1" applyBorder="1" applyAlignment="1">
      <alignment horizontal="right" vertical="center"/>
    </xf>
    <xf numFmtId="0" fontId="15" fillId="7" borderId="34" xfId="0" applyFont="1" applyFill="1" applyBorder="1" applyAlignment="1">
      <alignment horizontal="right" vertical="center"/>
    </xf>
    <xf numFmtId="0" fontId="9" fillId="0" borderId="13" xfId="0" applyFont="1" applyBorder="1" applyAlignment="1">
      <alignment vertical="center"/>
    </xf>
    <xf numFmtId="0" fontId="9" fillId="0" borderId="35" xfId="0" applyFont="1" applyBorder="1" applyAlignment="1">
      <alignment vertical="center"/>
    </xf>
    <xf numFmtId="0" fontId="9" fillId="0" borderId="20" xfId="0" applyFont="1" applyBorder="1" applyAlignment="1">
      <alignment vertical="center"/>
    </xf>
    <xf numFmtId="0" fontId="9" fillId="0" borderId="21" xfId="0" applyFont="1" applyBorder="1" applyAlignment="1">
      <alignment vertical="center"/>
    </xf>
    <xf numFmtId="0" fontId="17" fillId="0" borderId="0" xfId="0" applyFont="1" applyAlignment="1">
      <alignment vertical="center"/>
    </xf>
    <xf numFmtId="14" fontId="18" fillId="0" borderId="16" xfId="0" applyNumberFormat="1" applyFont="1" applyBorder="1" applyAlignment="1">
      <alignment horizontal="right" vertical="center"/>
    </xf>
    <xf numFmtId="14" fontId="18" fillId="0" borderId="13" xfId="0" applyNumberFormat="1" applyFont="1" applyBorder="1" applyAlignment="1">
      <alignment horizontal="center" vertical="center"/>
    </xf>
    <xf numFmtId="14" fontId="18" fillId="0" borderId="16" xfId="0" applyNumberFormat="1" applyFont="1" applyBorder="1" applyAlignment="1">
      <alignment horizontal="center" vertical="center"/>
    </xf>
    <xf numFmtId="0" fontId="19" fillId="0" borderId="0" xfId="0" applyFont="1" applyAlignment="1">
      <alignment vertical="center"/>
    </xf>
    <xf numFmtId="14" fontId="14" fillId="7" borderId="24" xfId="0" applyNumberFormat="1" applyFont="1" applyFill="1" applyBorder="1" applyAlignment="1" applyProtection="1">
      <alignment horizontal="right" vertical="center"/>
      <protection locked="0"/>
    </xf>
    <xf numFmtId="14" fontId="15" fillId="7" borderId="24" xfId="0" applyNumberFormat="1" applyFont="1" applyFill="1" applyBorder="1" applyAlignment="1" applyProtection="1">
      <alignment horizontal="right" vertical="center"/>
      <protection locked="0"/>
    </xf>
    <xf numFmtId="14" fontId="15" fillId="7" borderId="25" xfId="0" applyNumberFormat="1" applyFont="1" applyFill="1" applyBorder="1" applyAlignment="1" applyProtection="1">
      <alignment horizontal="right" vertical="center"/>
      <protection locked="0"/>
    </xf>
    <xf numFmtId="14" fontId="15" fillId="9" borderId="25" xfId="0" applyNumberFormat="1" applyFont="1" applyFill="1" applyBorder="1" applyAlignment="1" applyProtection="1">
      <alignment horizontal="right" vertical="center"/>
      <protection locked="0"/>
    </xf>
    <xf numFmtId="14" fontId="14" fillId="7" borderId="28" xfId="0" applyNumberFormat="1" applyFont="1" applyFill="1" applyBorder="1" applyAlignment="1" applyProtection="1">
      <alignment horizontal="right" vertical="center"/>
      <protection locked="0"/>
    </xf>
    <xf numFmtId="14" fontId="15" fillId="7" borderId="28" xfId="0" applyNumberFormat="1" applyFont="1" applyFill="1" applyBorder="1" applyAlignment="1" applyProtection="1">
      <alignment horizontal="right" vertical="center"/>
      <protection locked="0"/>
    </xf>
    <xf numFmtId="14" fontId="15" fillId="7" borderId="29" xfId="0" applyNumberFormat="1" applyFont="1" applyFill="1" applyBorder="1" applyAlignment="1" applyProtection="1">
      <alignment horizontal="right" vertical="center"/>
      <protection locked="0"/>
    </xf>
    <xf numFmtId="14" fontId="15" fillId="9" borderId="29" xfId="0" applyNumberFormat="1" applyFont="1" applyFill="1" applyBorder="1" applyAlignment="1" applyProtection="1">
      <alignment horizontal="right" vertical="center"/>
      <protection locked="0"/>
    </xf>
    <xf numFmtId="14" fontId="14" fillId="7" borderId="30" xfId="0" applyNumberFormat="1" applyFont="1" applyFill="1" applyBorder="1" applyAlignment="1" applyProtection="1">
      <alignment horizontal="right" vertical="center"/>
      <protection locked="0"/>
    </xf>
    <xf numFmtId="14" fontId="15" fillId="7" borderId="30" xfId="0" applyNumberFormat="1" applyFont="1" applyFill="1" applyBorder="1" applyAlignment="1" applyProtection="1">
      <alignment horizontal="right" vertical="center"/>
      <protection locked="0"/>
    </xf>
    <xf numFmtId="0" fontId="15" fillId="7" borderId="28" xfId="0" applyFont="1" applyFill="1" applyBorder="1" applyAlignment="1" applyProtection="1">
      <alignment horizontal="right" vertical="center"/>
      <protection locked="0"/>
    </xf>
    <xf numFmtId="0" fontId="15" fillId="7" borderId="29" xfId="0" applyFont="1" applyFill="1" applyBorder="1" applyAlignment="1" applyProtection="1">
      <alignment horizontal="right" vertical="center"/>
      <protection locked="0"/>
    </xf>
    <xf numFmtId="0" fontId="15" fillId="7" borderId="30" xfId="0" applyFont="1" applyFill="1" applyBorder="1" applyAlignment="1" applyProtection="1">
      <alignment horizontal="right" vertical="center"/>
      <protection locked="0"/>
    </xf>
    <xf numFmtId="0" fontId="15" fillId="7" borderId="33" xfId="0" applyFont="1" applyFill="1" applyBorder="1" applyAlignment="1" applyProtection="1">
      <alignment horizontal="right" vertical="center"/>
      <protection locked="0"/>
    </xf>
    <xf numFmtId="0" fontId="15" fillId="7" borderId="34" xfId="0" applyFont="1" applyFill="1" applyBorder="1" applyAlignment="1" applyProtection="1">
      <alignment horizontal="right" vertical="center"/>
      <protection locked="0"/>
    </xf>
    <xf numFmtId="178" fontId="9" fillId="0" borderId="35" xfId="0" applyNumberFormat="1" applyFont="1" applyBorder="1" applyAlignment="1">
      <alignment vertical="center"/>
    </xf>
    <xf numFmtId="179" fontId="9" fillId="0" borderId="21" xfId="0" applyNumberFormat="1" applyFont="1" applyBorder="1" applyAlignment="1">
      <alignment vertical="center"/>
    </xf>
    <xf numFmtId="14" fontId="15" fillId="9" borderId="28" xfId="0" applyNumberFormat="1" applyFont="1" applyFill="1" applyBorder="1" applyAlignment="1" applyProtection="1">
      <alignment horizontal="right" vertical="center"/>
      <protection locked="0"/>
    </xf>
    <xf numFmtId="14" fontId="14" fillId="9" borderId="28" xfId="0" applyNumberFormat="1" applyFont="1" applyFill="1" applyBorder="1" applyAlignment="1" applyProtection="1">
      <alignment horizontal="right" vertical="center"/>
      <protection locked="0"/>
    </xf>
    <xf numFmtId="14" fontId="14" fillId="7" borderId="37" xfId="0" applyNumberFormat="1" applyFont="1" applyFill="1" applyBorder="1" applyAlignment="1" applyProtection="1">
      <alignment horizontal="right" vertical="center"/>
      <protection locked="0"/>
    </xf>
    <xf numFmtId="14" fontId="14" fillId="7" borderId="31" xfId="0" applyNumberFormat="1" applyFont="1" applyFill="1" applyBorder="1" applyAlignment="1" applyProtection="1">
      <alignment horizontal="right" vertical="center"/>
      <protection locked="0"/>
    </xf>
    <xf numFmtId="14" fontId="14" fillId="7" borderId="33" xfId="0" applyNumberFormat="1" applyFont="1" applyFill="1" applyBorder="1" applyAlignment="1" applyProtection="1">
      <alignment horizontal="right" vertical="center"/>
      <protection locked="0"/>
    </xf>
    <xf numFmtId="14" fontId="14" fillId="7" borderId="38" xfId="0" applyNumberFormat="1" applyFont="1" applyFill="1" applyBorder="1" applyAlignment="1" applyProtection="1">
      <alignment horizontal="right" vertical="center"/>
      <protection locked="0"/>
    </xf>
    <xf numFmtId="14" fontId="15" fillId="7" borderId="33" xfId="0" applyNumberFormat="1" applyFont="1" applyFill="1" applyBorder="1" applyAlignment="1" applyProtection="1">
      <alignment horizontal="right" vertical="center"/>
      <protection locked="0"/>
    </xf>
    <xf numFmtId="14" fontId="16" fillId="8" borderId="24" xfId="0" applyNumberFormat="1" applyFont="1" applyFill="1" applyBorder="1" applyAlignment="1">
      <alignment horizontal="right" vertical="center"/>
    </xf>
    <xf numFmtId="14" fontId="15" fillId="7" borderId="38" xfId="0" applyNumberFormat="1" applyFont="1" applyFill="1" applyBorder="1" applyAlignment="1" applyProtection="1">
      <alignment horizontal="right" vertical="center"/>
      <protection locked="0"/>
    </xf>
    <xf numFmtId="14" fontId="15" fillId="7" borderId="37" xfId="0" applyNumberFormat="1" applyFont="1" applyFill="1" applyBorder="1" applyAlignment="1" applyProtection="1">
      <alignment horizontal="right" vertical="center"/>
      <protection locked="0"/>
    </xf>
    <xf numFmtId="14" fontId="15" fillId="7" borderId="31" xfId="0" applyNumberFormat="1" applyFont="1" applyFill="1" applyBorder="1" applyAlignment="1" applyProtection="1">
      <alignment horizontal="right" vertical="center"/>
      <protection locked="0"/>
    </xf>
    <xf numFmtId="0" fontId="15" fillId="7" borderId="37" xfId="0" applyFont="1" applyFill="1" applyBorder="1" applyAlignment="1" applyProtection="1">
      <alignment horizontal="right" vertical="center"/>
      <protection locked="0"/>
    </xf>
    <xf numFmtId="14" fontId="15" fillId="7" borderId="39" xfId="0" applyNumberFormat="1" applyFont="1" applyFill="1" applyBorder="1" applyAlignment="1" applyProtection="1">
      <alignment horizontal="right" vertical="center"/>
      <protection locked="0"/>
    </xf>
    <xf numFmtId="14" fontId="16" fillId="7" borderId="40" xfId="0" applyNumberFormat="1" applyFont="1" applyFill="1" applyBorder="1" applyAlignment="1">
      <alignment horizontal="right" vertical="center"/>
    </xf>
    <xf numFmtId="14" fontId="16" fillId="7" borderId="31" xfId="0" applyNumberFormat="1" applyFont="1" applyFill="1" applyBorder="1" applyAlignment="1">
      <alignment horizontal="right" vertical="center"/>
    </xf>
    <xf numFmtId="0" fontId="21" fillId="0" borderId="0" xfId="0" applyFont="1" applyAlignment="1">
      <alignment vertical="center"/>
    </xf>
    <xf numFmtId="0" fontId="21" fillId="0" borderId="20" xfId="0" applyFont="1" applyBorder="1" applyAlignment="1">
      <alignment horizontal="right" vertical="center"/>
    </xf>
    <xf numFmtId="14" fontId="14" fillId="9" borderId="24" xfId="0" applyNumberFormat="1" applyFont="1" applyFill="1" applyBorder="1" applyAlignment="1" applyProtection="1">
      <alignment horizontal="right" vertical="center"/>
      <protection locked="0"/>
    </xf>
    <xf numFmtId="14" fontId="14" fillId="7" borderId="41" xfId="0" applyNumberFormat="1" applyFont="1" applyFill="1" applyBorder="1" applyAlignment="1" applyProtection="1">
      <alignment horizontal="right" vertical="center"/>
      <protection locked="0"/>
    </xf>
    <xf numFmtId="14" fontId="14" fillId="7" borderId="42" xfId="0" applyNumberFormat="1" applyFont="1" applyFill="1" applyBorder="1" applyAlignment="1" applyProtection="1">
      <alignment horizontal="right" vertical="center"/>
      <protection locked="0"/>
    </xf>
    <xf numFmtId="14" fontId="14" fillId="7" borderId="43" xfId="0" applyNumberFormat="1" applyFont="1" applyFill="1" applyBorder="1" applyAlignment="1" applyProtection="1">
      <alignment horizontal="right" vertical="center"/>
      <protection locked="0"/>
    </xf>
    <xf numFmtId="14" fontId="9" fillId="8" borderId="31" xfId="0" applyNumberFormat="1" applyFont="1" applyFill="1" applyBorder="1" applyAlignment="1">
      <alignment horizontal="right" vertical="center"/>
    </xf>
    <xf numFmtId="14" fontId="14" fillId="7" borderId="31" xfId="0" applyNumberFormat="1" applyFont="1" applyFill="1" applyBorder="1" applyAlignment="1">
      <alignment horizontal="right" vertical="center"/>
    </xf>
    <xf numFmtId="14" fontId="14" fillId="7" borderId="44" xfId="0" applyNumberFormat="1" applyFont="1" applyFill="1" applyBorder="1" applyAlignment="1">
      <alignment horizontal="right" vertical="center"/>
    </xf>
    <xf numFmtId="0" fontId="9" fillId="8" borderId="24" xfId="0" applyFont="1" applyFill="1" applyBorder="1" applyAlignment="1">
      <alignment horizontal="right" vertical="center"/>
    </xf>
    <xf numFmtId="14" fontId="22" fillId="7" borderId="31" xfId="0" applyNumberFormat="1" applyFont="1" applyFill="1" applyBorder="1" applyAlignment="1">
      <alignment horizontal="right" vertical="center"/>
    </xf>
    <xf numFmtId="14" fontId="22" fillId="7" borderId="38" xfId="0" applyNumberFormat="1" applyFont="1" applyFill="1" applyBorder="1" applyAlignment="1">
      <alignment horizontal="right" vertical="center"/>
    </xf>
    <xf numFmtId="14" fontId="22" fillId="7" borderId="30" xfId="0" applyNumberFormat="1" applyFont="1" applyFill="1" applyBorder="1" applyAlignment="1">
      <alignment horizontal="right" vertical="center"/>
    </xf>
    <xf numFmtId="14" fontId="14" fillId="9" borderId="33" xfId="0" applyNumberFormat="1" applyFont="1" applyFill="1" applyBorder="1" applyAlignment="1" applyProtection="1">
      <alignment horizontal="right" vertical="center"/>
      <protection locked="0"/>
    </xf>
    <xf numFmtId="14" fontId="16" fillId="7" borderId="44" xfId="0" applyNumberFormat="1" applyFont="1" applyFill="1" applyBorder="1" applyAlignment="1">
      <alignment horizontal="right" vertical="center"/>
    </xf>
    <xf numFmtId="14" fontId="22" fillId="7" borderId="40" xfId="0" applyNumberFormat="1" applyFont="1" applyFill="1" applyBorder="1" applyAlignment="1">
      <alignment horizontal="right" vertical="center"/>
    </xf>
    <xf numFmtId="0" fontId="17" fillId="0" borderId="14" xfId="0" applyFont="1" applyBorder="1" applyAlignment="1">
      <alignment horizontal="left" vertical="center"/>
    </xf>
    <xf numFmtId="0" fontId="2" fillId="0" borderId="15" xfId="0" applyFont="1" applyBorder="1"/>
    <xf numFmtId="0" fontId="19" fillId="0" borderId="36" xfId="0" applyFont="1" applyBorder="1" applyAlignment="1">
      <alignment horizontal="center" vertical="center"/>
    </xf>
    <xf numFmtId="0" fontId="2" fillId="0" borderId="36" xfId="0" applyFont="1" applyBorder="1"/>
    <xf numFmtId="0" fontId="9" fillId="0" borderId="18" xfId="0" applyFont="1" applyBorder="1" applyAlignment="1">
      <alignment horizontal="left" vertical="center"/>
    </xf>
    <xf numFmtId="0" fontId="2" fillId="0" borderId="19" xfId="0" applyFont="1" applyBorder="1"/>
    <xf numFmtId="0" fontId="9" fillId="0" borderId="22" xfId="0" applyFont="1" applyBorder="1" applyAlignment="1">
      <alignment horizontal="left" vertical="top"/>
    </xf>
    <xf numFmtId="0" fontId="2" fillId="0" borderId="26" xfId="0" applyFont="1" applyBorder="1"/>
    <xf numFmtId="0" fontId="9" fillId="0" borderId="13" xfId="0" applyFont="1" applyBorder="1" applyAlignment="1">
      <alignment horizontal="left" vertical="center"/>
    </xf>
    <xf numFmtId="0" fontId="2" fillId="0" borderId="35" xfId="0" applyFont="1" applyBorder="1"/>
    <xf numFmtId="0" fontId="9" fillId="0" borderId="20" xfId="0" applyFont="1" applyBorder="1" applyAlignment="1">
      <alignment horizontal="left" vertical="center"/>
    </xf>
    <xf numFmtId="0" fontId="2" fillId="0" borderId="21" xfId="0" applyFont="1" applyBorder="1"/>
    <xf numFmtId="0" fontId="17" fillId="0" borderId="11" xfId="0" applyFont="1" applyBorder="1" applyAlignment="1">
      <alignment horizontal="left" vertical="center"/>
    </xf>
    <xf numFmtId="0" fontId="2" fillId="0" borderId="12" xfId="0" applyFont="1" applyBorder="1"/>
    <xf numFmtId="0" fontId="20" fillId="7" borderId="8" xfId="0" applyFont="1" applyFill="1" applyBorder="1" applyAlignment="1" applyProtection="1">
      <alignment horizontal="center" vertical="center"/>
      <protection locked="0"/>
    </xf>
    <xf numFmtId="0" fontId="2" fillId="0" borderId="10" xfId="0" applyFont="1" applyBorder="1" applyProtection="1">
      <protection locked="0"/>
    </xf>
    <xf numFmtId="14" fontId="9" fillId="7" borderId="8" xfId="0" applyNumberFormat="1" applyFont="1" applyFill="1" applyBorder="1" applyAlignment="1" applyProtection="1">
      <alignment horizontal="center" vertical="center"/>
      <protection locked="0"/>
    </xf>
    <xf numFmtId="0" fontId="9" fillId="0" borderId="11" xfId="0" applyFont="1" applyBorder="1" applyAlignment="1">
      <alignment horizontal="left" vertical="center"/>
    </xf>
    <xf numFmtId="0" fontId="9" fillId="0" borderId="14" xfId="0" applyFont="1" applyBorder="1" applyAlignment="1">
      <alignment horizontal="left"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xf>
    <xf numFmtId="0" fontId="7" fillId="4" borderId="2" xfId="0" applyFont="1" applyFill="1" applyBorder="1" applyAlignment="1">
      <alignment horizontal="center" vertical="center"/>
    </xf>
    <xf numFmtId="0" fontId="7" fillId="4" borderId="0" xfId="0" applyFont="1" applyFill="1" applyAlignment="1">
      <alignment horizontal="center" vertical="center"/>
    </xf>
    <xf numFmtId="0" fontId="17" fillId="0" borderId="15" xfId="0" applyFont="1" applyBorder="1" applyAlignment="1">
      <alignment horizontal="left" vertical="center"/>
    </xf>
    <xf numFmtId="0" fontId="9" fillId="0" borderId="19" xfId="0" applyFont="1" applyBorder="1" applyAlignment="1">
      <alignment horizontal="left" vertical="center"/>
    </xf>
    <xf numFmtId="0" fontId="9" fillId="0" borderId="26" xfId="0" applyFont="1" applyBorder="1" applyAlignment="1">
      <alignment horizontal="left" vertical="top"/>
    </xf>
    <xf numFmtId="0" fontId="9" fillId="0" borderId="35" xfId="0" applyFont="1" applyBorder="1" applyAlignment="1">
      <alignment horizontal="left" vertical="center"/>
    </xf>
    <xf numFmtId="0" fontId="9" fillId="0" borderId="21" xfId="0" applyFont="1" applyBorder="1" applyAlignment="1">
      <alignment horizontal="left" vertical="center"/>
    </xf>
    <xf numFmtId="0" fontId="17" fillId="0" borderId="12" xfId="0" applyFont="1" applyBorder="1" applyAlignment="1">
      <alignment horizontal="left" vertical="center"/>
    </xf>
    <xf numFmtId="0" fontId="12" fillId="7" borderId="9" xfId="0" applyFont="1" applyFill="1" applyBorder="1" applyAlignment="1">
      <alignment horizontal="center" vertical="center"/>
    </xf>
    <xf numFmtId="0" fontId="12" fillId="7" borderId="10" xfId="0" applyFont="1" applyFill="1" applyBorder="1" applyAlignment="1">
      <alignment horizontal="center" vertical="center"/>
    </xf>
    <xf numFmtId="14" fontId="9" fillId="7" borderId="9" xfId="0" applyNumberFormat="1" applyFont="1" applyFill="1" applyBorder="1" applyAlignment="1">
      <alignment horizontal="center" vertical="center"/>
    </xf>
    <xf numFmtId="14" fontId="9" fillId="7" borderId="10" xfId="0" applyNumberFormat="1" applyFont="1" applyFill="1" applyBorder="1" applyAlignment="1">
      <alignment horizontal="center" vertical="center"/>
    </xf>
    <xf numFmtId="0" fontId="9" fillId="0" borderId="12" xfId="0" applyFont="1" applyBorder="1" applyAlignment="1">
      <alignment horizontal="left" vertical="center"/>
    </xf>
    <xf numFmtId="0" fontId="9" fillId="0" borderId="15" xfId="0" applyFont="1" applyBorder="1" applyAlignment="1">
      <alignment horizontal="left" vertical="center"/>
    </xf>
    <xf numFmtId="0" fontId="10" fillId="7" borderId="8" xfId="0" applyFont="1" applyFill="1" applyBorder="1" applyAlignment="1" applyProtection="1">
      <alignment horizontal="center" vertical="center"/>
      <protection locked="0"/>
    </xf>
    <xf numFmtId="0" fontId="12" fillId="7" borderId="8" xfId="0" applyFont="1" applyFill="1" applyBorder="1" applyAlignment="1" applyProtection="1">
      <alignment horizontal="center" vertical="center"/>
      <protection locked="0"/>
    </xf>
    <xf numFmtId="0" fontId="2" fillId="0" borderId="45" xfId="0" applyFont="1" applyBorder="1" applyProtection="1">
      <protection locked="0"/>
    </xf>
  </cellXfs>
  <cellStyles count="1">
    <cellStyle name="標準" xfId="0" builtinId="0"/>
  </cellStyles>
  <dxfs count="6">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N23"/>
  <sheetViews>
    <sheetView zoomScale="90" zoomScaleNormal="90" workbookViewId="0">
      <selection activeCell="E5" sqref="E5"/>
    </sheetView>
  </sheetViews>
  <sheetFormatPr defaultRowHeight="18.75" customHeight="1"/>
  <cols>
    <col min="1" max="1" width="5.75" style="1" customWidth="1"/>
    <col min="2" max="2" width="20" style="1" customWidth="1"/>
    <col min="3" max="3" width="12" style="1" customWidth="1"/>
    <col min="4" max="4" width="17.75" style="1" customWidth="1"/>
    <col min="5" max="5" width="17.25" style="1" customWidth="1"/>
    <col min="6" max="6" width="13.375" style="1" customWidth="1"/>
    <col min="7" max="7" width="22" style="1" customWidth="1"/>
    <col min="8" max="8" width="24.125" style="1" customWidth="1"/>
    <col min="9" max="9" width="12" style="1" customWidth="1"/>
    <col min="10" max="10" width="12.5" style="1" customWidth="1"/>
    <col min="11" max="11" width="12.75" style="1" customWidth="1"/>
    <col min="12" max="12" width="11" style="1" customWidth="1"/>
    <col min="13" max="13" width="12.125" style="1" customWidth="1"/>
    <col min="14" max="14" width="25.75" style="1" customWidth="1"/>
  </cols>
  <sheetData>
    <row r="1" spans="1:14" ht="26.45" customHeight="1">
      <c r="A1" s="2" t="s">
        <v>0</v>
      </c>
      <c r="C1" s="3"/>
      <c r="D1" s="4"/>
      <c r="E1" s="4"/>
      <c r="F1" s="4"/>
      <c r="J1" s="5" t="s">
        <v>1</v>
      </c>
      <c r="K1" s="6">
        <f ca="1">TODAY()</f>
        <v>46189</v>
      </c>
    </row>
    <row r="2" spans="1:14" ht="18.600000000000001" customHeight="1">
      <c r="B2" s="7"/>
    </row>
    <row r="3" spans="1:14">
      <c r="A3" s="8" t="s">
        <v>2</v>
      </c>
      <c r="B3" s="8" t="s">
        <v>3</v>
      </c>
      <c r="C3" s="9" t="s">
        <v>4</v>
      </c>
      <c r="D3" s="9" t="s">
        <v>5</v>
      </c>
      <c r="E3" s="10" t="s">
        <v>6</v>
      </c>
      <c r="F3" s="10" t="s">
        <v>7</v>
      </c>
      <c r="G3" s="8" t="s">
        <v>8</v>
      </c>
      <c r="H3" s="8" t="s">
        <v>9</v>
      </c>
      <c r="I3" s="8" t="s">
        <v>10</v>
      </c>
      <c r="J3" s="140" t="s">
        <v>11</v>
      </c>
      <c r="K3" s="141"/>
      <c r="L3" s="141"/>
      <c r="M3" s="141"/>
      <c r="N3" s="11"/>
    </row>
    <row r="4" spans="1:14">
      <c r="A4" s="12" t="s">
        <v>12</v>
      </c>
      <c r="B4" s="12" t="s">
        <v>13</v>
      </c>
      <c r="C4" s="13">
        <f>有田!B3</f>
        <v>40680</v>
      </c>
      <c r="D4" s="13">
        <f t="shared" ref="D4:D14" ca="1" si="0">IF(EDATE(C4,6)&gt;$K$1, EDATE(C4,6), IF(DATE(YEAR($K$1),MONTH(EDATE(C4,6)),DAY(EDATE(C4,6)))&lt;=$K$1, DATE(YEAR($K$1)+1,MONTH(EDATE(C4,6)),DAY(EDATE(C4,6))), DATE(YEAR($K$1),MONTH(EDATE(C4,6)),DAY(EDATE(C4,6)))))</f>
        <v>46343</v>
      </c>
      <c r="E4" s="13">
        <f>有田!P6</f>
        <v>46342</v>
      </c>
      <c r="F4" s="14">
        <f>MAX(0,有田!P8-有田!P29)</f>
        <v>15</v>
      </c>
      <c r="G4" s="12">
        <f ca="1">MIN(40, SUMIFS(有田!$C$30:$R$30, 有田!$C$32:$R$32, "&gt;="&amp;$K$1, 有田!$C$31:$R$31, "&lt;="&amp;$K$1))</f>
        <v>40</v>
      </c>
      <c r="H4" s="12">
        <f>COUNTIFS(有田!$C$9:$R$28,"&gt;=2026/1/1",有田!$C$9:$R$28,"&lt;=2026/12/31")</f>
        <v>5</v>
      </c>
      <c r="I4" s="15" t="str">
        <f>IF(H4&gt;=5,"完了","あと"&amp;(5-H4)&amp;"日")</f>
        <v>完了</v>
      </c>
      <c r="J4" s="137"/>
      <c r="K4" s="137"/>
      <c r="L4" s="137"/>
      <c r="M4" s="137"/>
    </row>
    <row r="5" spans="1:14">
      <c r="A5" s="12" t="s">
        <v>14</v>
      </c>
      <c r="B5" s="12" t="s">
        <v>15</v>
      </c>
      <c r="C5" s="13">
        <f>中原裟也茄!B3</f>
        <v>43837</v>
      </c>
      <c r="D5" s="13">
        <f t="shared" ca="1" si="0"/>
        <v>46210</v>
      </c>
      <c r="E5" s="13">
        <f>中原裟也茄!G6</f>
        <v>46209</v>
      </c>
      <c r="F5" s="14">
        <f>MAX(0,中原裟也茄!G8-中原裟也茄!G29)</f>
        <v>8</v>
      </c>
      <c r="G5" s="12">
        <f ca="1">MIN(40, SUMIFS(中原裟也茄!$C$30:$R$30, 中原裟也茄!$C$32:$R$32, "&gt;="&amp;$K$1, 中原裟也茄!$C$31:$R$31, "&lt;="&amp;$K$1))</f>
        <v>40</v>
      </c>
      <c r="H5" s="12">
        <f>COUNTIFS(中原裟也茄!$C$9:$R$28,"&gt;=2026/1/1",中原裟也茄!$C$9:$R$28,"&lt;=2026/12/31")</f>
        <v>6</v>
      </c>
      <c r="I5" s="15" t="str">
        <f t="shared" ref="I5:I14" si="1">IF(H5&gt;=5,"完了","あと"&amp;(5-H5)&amp;"日")</f>
        <v>完了</v>
      </c>
      <c r="J5" s="137"/>
      <c r="K5" s="137"/>
      <c r="L5" s="137"/>
      <c r="M5" s="137"/>
    </row>
    <row r="6" spans="1:14">
      <c r="A6" s="12" t="s">
        <v>16</v>
      </c>
      <c r="B6" s="12" t="s">
        <v>17</v>
      </c>
      <c r="C6" s="13">
        <f>'山田 一光'!B3</f>
        <v>44256</v>
      </c>
      <c r="D6" s="13">
        <f t="shared" ca="1" si="0"/>
        <v>46266</v>
      </c>
      <c r="E6" s="13">
        <f>'山田 一光'!F6</f>
        <v>46265</v>
      </c>
      <c r="F6" s="14">
        <f>MAX(0,'山田 一光'!F8-'山田 一光'!F29)</f>
        <v>14</v>
      </c>
      <c r="G6" s="12">
        <f ca="1">MIN(40, SUMIFS('山田 一光'!$C$30:$R$30, '山田 一光'!$C$32:$R$32, "&gt;="&amp;$K$1, '山田 一光'!$C$31:$R$31, "&lt;="&amp;$K$1))</f>
        <v>40</v>
      </c>
      <c r="H6" s="12">
        <f>COUNTIFS('山田 一光'!$C$9:$R$28,"&gt;=2026/1/1",'山田 一光'!$C$9:$R$28,"&lt;=2026/12/31")</f>
        <v>0</v>
      </c>
      <c r="I6" s="15" t="str">
        <f t="shared" si="1"/>
        <v>あと5日</v>
      </c>
      <c r="J6" s="137" t="s">
        <v>18</v>
      </c>
      <c r="K6" s="137"/>
      <c r="L6" s="137"/>
      <c r="M6" s="137"/>
    </row>
    <row r="7" spans="1:14">
      <c r="A7" s="12" t="s">
        <v>19</v>
      </c>
      <c r="B7" s="12" t="s">
        <v>20</v>
      </c>
      <c r="C7" s="13">
        <f>アルフィアン!B3</f>
        <v>45091</v>
      </c>
      <c r="D7" s="13">
        <f t="shared" ca="1" si="0"/>
        <v>46370</v>
      </c>
      <c r="E7" s="13">
        <f>アルフィアン!D6</f>
        <v>46369</v>
      </c>
      <c r="F7" s="14">
        <f>MAX(0,アルフィアン!D8-アルフィアン!D29)</f>
        <v>0</v>
      </c>
      <c r="G7" s="12">
        <f ca="1">MIN(40, SUMIFS(アルフィアン!$C$30:$R$30, アルフィアン!$C$32:$R$32, "&gt;="&amp;$K$1, アルフィアン!$C$31:$R$31, "&lt;="&amp;$K$1))</f>
        <v>3</v>
      </c>
      <c r="H7" s="12">
        <f>COUNTIFS(アルフィアン!$C$9:$R$28,"&gt;=2026/1/1",アルフィアン!$C$9:$R$28,"&lt;=2026/12/31")</f>
        <v>18</v>
      </c>
      <c r="I7" s="15" t="str">
        <f t="shared" si="1"/>
        <v>完了</v>
      </c>
      <c r="J7" s="137"/>
      <c r="K7" s="137"/>
      <c r="L7" s="137"/>
      <c r="M7" s="137"/>
    </row>
    <row r="8" spans="1:14">
      <c r="A8" s="12" t="s">
        <v>21</v>
      </c>
      <c r="B8" s="12" t="s">
        <v>22</v>
      </c>
      <c r="C8" s="13">
        <f>ディマス!B3</f>
        <v>45748</v>
      </c>
      <c r="D8" s="13">
        <f t="shared" ca="1" si="0"/>
        <v>46296</v>
      </c>
      <c r="E8" s="13">
        <f>ディマス!C6</f>
        <v>46660</v>
      </c>
      <c r="F8" s="14">
        <f>MAX(0,ディマス!C8-ディマス!C29)</f>
        <v>8</v>
      </c>
      <c r="G8" s="12">
        <f ca="1">MIN(40, SUMIFS(ディマス!$C$30:$R$30, ディマス!$C$32:$R$32, "&gt;="&amp;$K$1, ディマス!$C$31:$R$31, "&lt;="&amp;$K$1))</f>
        <v>8</v>
      </c>
      <c r="H8" s="12">
        <f>COUNTIFS(ディマス!$C$9:$R$28,"&gt;=2026/1/1",ディマス!$C$9:$R$28,"&lt;=2026/12/31")</f>
        <v>2</v>
      </c>
      <c r="I8" s="15" t="str">
        <f t="shared" si="1"/>
        <v>あと3日</v>
      </c>
      <c r="J8" s="137"/>
      <c r="K8" s="137"/>
      <c r="L8" s="137"/>
      <c r="M8" s="137"/>
    </row>
    <row r="9" spans="1:14">
      <c r="A9" s="12" t="s">
        <v>23</v>
      </c>
      <c r="B9" s="12" t="s">
        <v>24</v>
      </c>
      <c r="C9" s="13">
        <f>ヨザ!B3</f>
        <v>45091</v>
      </c>
      <c r="D9" s="13">
        <f t="shared" ca="1" si="0"/>
        <v>46370</v>
      </c>
      <c r="E9" s="13">
        <f>ヨザ!D6</f>
        <v>46369</v>
      </c>
      <c r="F9" s="14">
        <f>MAX(0,ヨザ!D30-ヨザ!D8)</f>
        <v>0</v>
      </c>
      <c r="G9" s="12">
        <f ca="1">MIN(40, SUMIFS(ヨザ!$C$30:$R$30, ヨザ!$C$32:$R$32, "&gt;="&amp;$K$1, ヨザ!$C$31:$R$31, "&lt;="&amp;$K$1))</f>
        <v>12</v>
      </c>
      <c r="H9" s="12">
        <f>COUNTIFS(ヨザ!$C$9:$R$28,"&gt;=2026/1/1",ヨザ!$C$9:$R$28,"&lt;=2026/12/31")</f>
        <v>12</v>
      </c>
      <c r="I9" s="15" t="str">
        <f t="shared" si="1"/>
        <v>完了</v>
      </c>
      <c r="J9" s="137"/>
      <c r="K9" s="137"/>
      <c r="L9" s="137"/>
      <c r="M9" s="137"/>
    </row>
    <row r="10" spans="1:14">
      <c r="A10" s="12" t="s">
        <v>25</v>
      </c>
      <c r="B10" s="12" t="s">
        <v>26</v>
      </c>
      <c r="C10" s="13">
        <f>リズキ!B3</f>
        <v>45748</v>
      </c>
      <c r="D10" s="13">
        <f t="shared" ca="1" si="0"/>
        <v>46296</v>
      </c>
      <c r="E10" s="13">
        <f>リズキ!C6</f>
        <v>46660</v>
      </c>
      <c r="F10" s="14">
        <f>MAX(0,リズキ!C8-リズキ!C29)</f>
        <v>8</v>
      </c>
      <c r="G10" s="12">
        <f ca="1">MIN(40, SUMIFS(リズキ!$C$30:$R$30, リズキ!$C$32:$R$32, "&gt;="&amp;$K$1, リズキ!$C$31:$R$31, "&lt;="&amp;$K$1))</f>
        <v>8</v>
      </c>
      <c r="H10" s="12">
        <f>COUNTIFS(リズキ!$C$9:$R$28,"&gt;=2026/1/1",リズキ!$C$9:$R$28,"&lt;=2026/12/31")</f>
        <v>2</v>
      </c>
      <c r="I10" s="15" t="str">
        <f t="shared" si="1"/>
        <v>あと3日</v>
      </c>
      <c r="J10" s="137"/>
      <c r="K10" s="137"/>
      <c r="L10" s="137"/>
      <c r="M10" s="137"/>
    </row>
    <row r="11" spans="1:14">
      <c r="A11" s="12" t="s">
        <v>27</v>
      </c>
      <c r="B11" s="12" t="s">
        <v>28</v>
      </c>
      <c r="C11" s="13">
        <f>山田!B3</f>
        <v>43815</v>
      </c>
      <c r="D11" s="13">
        <f t="shared" ca="1" si="0"/>
        <v>46554</v>
      </c>
      <c r="E11" s="13">
        <f>山田!G6</f>
        <v>46188</v>
      </c>
      <c r="F11" s="14">
        <f>MAX(0,山田!G8-山田!G29)</f>
        <v>8</v>
      </c>
      <c r="G11" s="12">
        <f ca="1">MIN(40, SUMIFS(山田!$C$30:$R$30, 山田!$C$32:$R$32, "&gt;="&amp;$K$1, 山田!$C$31:$R$31, "&lt;="&amp;$K$1))</f>
        <v>40</v>
      </c>
      <c r="H11" s="12">
        <f>COUNTIFS(山田!$C$9:$R$28,"&gt;=2026/1/1",山田!$C$9:$R$28,"&lt;=2026/12/31")</f>
        <v>0</v>
      </c>
      <c r="I11" s="15" t="str">
        <f t="shared" si="1"/>
        <v>あと5日</v>
      </c>
      <c r="J11" s="137"/>
      <c r="K11" s="137"/>
      <c r="L11" s="137"/>
      <c r="M11" s="137"/>
    </row>
    <row r="12" spans="1:14">
      <c r="A12" s="12" t="s">
        <v>29</v>
      </c>
      <c r="B12" s="12" t="s">
        <v>30</v>
      </c>
      <c r="C12" s="13">
        <f>菊川!B3</f>
        <v>44761</v>
      </c>
      <c r="D12" s="13">
        <f t="shared" ca="1" si="0"/>
        <v>46406</v>
      </c>
      <c r="E12" s="13">
        <f>菊川!E6</f>
        <v>46405</v>
      </c>
      <c r="F12" s="14">
        <f>MAX(0,菊川!E8-菊川!E29)</f>
        <v>4</v>
      </c>
      <c r="G12" s="12">
        <f ca="1">MIN(40, SUMIFS(菊川!$C$30:$R$30, 菊川!$C$32:$R$32, "&gt;="&amp;$K$1, 菊川!$C$31:$R$31, "&lt;="&amp;$K$1))</f>
        <v>22</v>
      </c>
      <c r="H12" s="12">
        <f>COUNTIFS(菊川!$C$9:$R$28,"&gt;=2026/1/1",菊川!$C$9:$R$28,"&lt;=2026/12/31")</f>
        <v>5</v>
      </c>
      <c r="I12" s="15" t="str">
        <f t="shared" si="1"/>
        <v>完了</v>
      </c>
      <c r="J12" s="137"/>
      <c r="K12" s="137"/>
      <c r="L12" s="137"/>
      <c r="M12" s="137"/>
    </row>
    <row r="13" spans="1:14">
      <c r="A13" s="12" t="s">
        <v>31</v>
      </c>
      <c r="B13" s="12" t="s">
        <v>32</v>
      </c>
      <c r="C13" s="13">
        <f>畑野!B3</f>
        <v>45817</v>
      </c>
      <c r="D13" s="13">
        <f t="shared" ca="1" si="0"/>
        <v>46365</v>
      </c>
      <c r="E13" s="13">
        <f>畑野!C6</f>
        <v>46729</v>
      </c>
      <c r="F13" s="14">
        <f>MAX(0,畑野!C8-畑野!C29)</f>
        <v>4</v>
      </c>
      <c r="G13" s="12">
        <f ca="1">MIN(40, SUMIFS(畑野!$C$30:$R$30, 畑野!$C$32:$R$32, "&gt;="&amp;$K$1, 畑野!$C$31:$R$31, "&lt;="&amp;$K$1))</f>
        <v>4</v>
      </c>
      <c r="H13" s="12">
        <f>COUNTIFS(畑野!$C$9:$R$28,"&gt;=2026/1/1",畑野!$C$9:$R$28,"&lt;=2026/12/31")</f>
        <v>6</v>
      </c>
      <c r="I13" s="15" t="str">
        <f t="shared" si="1"/>
        <v>完了</v>
      </c>
      <c r="J13" s="137"/>
      <c r="K13" s="137"/>
      <c r="L13" s="137"/>
      <c r="M13" s="137"/>
    </row>
    <row r="14" spans="1:14">
      <c r="A14" s="12" t="s">
        <v>33</v>
      </c>
      <c r="B14" s="17" t="s">
        <v>34</v>
      </c>
      <c r="C14" s="18">
        <f>濱津!B3</f>
        <v>46027</v>
      </c>
      <c r="D14" s="18">
        <f t="shared" ca="1" si="0"/>
        <v>46208</v>
      </c>
      <c r="E14" s="19" t="s">
        <v>35</v>
      </c>
      <c r="F14" s="19" t="s">
        <v>35</v>
      </c>
      <c r="G14" s="17">
        <f ca="1">MIN(40, SUMIFS(濱津!$C$30:$R$30, 濱津!$C$32:$R$32, "&gt;="&amp;$K$1, 濱津!$C$31:$R$31, "&lt;="&amp;$K$1))</f>
        <v>0</v>
      </c>
      <c r="H14" s="17">
        <f>COUNTIFS(濱津!$C$9:$R$28,"&gt;=2026/1/1",濱津!$C$9:$R$28,"&lt;=2026/12/31")</f>
        <v>0</v>
      </c>
      <c r="I14" s="20" t="str">
        <f t="shared" si="1"/>
        <v>あと5日</v>
      </c>
      <c r="J14" s="138"/>
      <c r="K14" s="138"/>
      <c r="L14" s="138"/>
      <c r="M14" s="138"/>
    </row>
    <row r="15" spans="1:14">
      <c r="A15" s="17" t="s">
        <v>36</v>
      </c>
      <c r="B15" s="21" t="s">
        <v>37</v>
      </c>
      <c r="C15" s="22">
        <f>'中原 宏'!B3</f>
        <v>46113</v>
      </c>
      <c r="D15" s="22">
        <f ca="1">IF(EDATE(C15,6)&gt;$K$1,EDATE(C15,6),IF(DATE(YEAR($K$1),MONTH(EDATE(C15,6)),DAY(EDATE(C15,6)))&lt;=$K$1,DATE(YEAR($K$1)+1,MONTH(EDATE(C15,6)),DAY(EDATE(C15,6))),DATE(YEAR($K$1),MONTH(EDATE(C15,6)),DAY(EDATE(C15,6)))))</f>
        <v>46296</v>
      </c>
      <c r="E15" s="23" t="s">
        <v>35</v>
      </c>
      <c r="F15" s="21" t="s">
        <v>35</v>
      </c>
      <c r="G15" s="21">
        <f ca="1">MIN(40,SUMIFS('中原 宏'!$C$30:$R$30,'中原 宏'!$C$32:$R$32,"&gt;="&amp;$K$1,'中原 宏'!$C$31:$R$31,"&lt;="&amp;$K$1))</f>
        <v>0</v>
      </c>
      <c r="H15" s="21">
        <f>COUNTIFS('中原 宏'!$C$9:$R$28,"&gt;=2026/1/1",'中原 宏'!$C$9:$R$28,"&lt;=2026/12/31")</f>
        <v>0</v>
      </c>
      <c r="I15" s="21" t="str">
        <f>IF(H15&gt;=5,"完了","あと"&amp;(5-H15)&amp;"日")</f>
        <v>あと5日</v>
      </c>
      <c r="J15" s="139"/>
      <c r="K15" s="139"/>
      <c r="L15" s="139"/>
      <c r="M15" s="139"/>
    </row>
    <row r="16" spans="1:14">
      <c r="A16" s="16" t="s">
        <v>38</v>
      </c>
      <c r="B16" s="24"/>
      <c r="C16" s="25"/>
      <c r="D16" s="26">
        <f ca="1">IF(EDATE(C16,6)&gt;$K$1,EDATE(C16,6),IF(DATE(YEAR($K$1),MONTH(EDATE(C16,6)),DAY(EDATE(C16,6)))&lt;=$K$1,DATE(YEAR($K$1)+1,MONTH(EDATE(C16,6)),DAY(EDATE(C16,6))),DATE(YEAR($K$1),MONTH(EDATE(C16,6)),DAY(EDATE(C16,6)))))</f>
        <v>46203</v>
      </c>
      <c r="E16" s="27"/>
      <c r="F16" s="24"/>
      <c r="G16" s="24"/>
      <c r="H16" s="24"/>
      <c r="I16" s="16" t="str">
        <f>IF(H15&gt;=5,"完了","あと"&amp;(5-H15)&amp;"日")</f>
        <v>あと5日</v>
      </c>
      <c r="J16" s="137"/>
      <c r="K16" s="137"/>
      <c r="L16" s="137"/>
      <c r="M16" s="137"/>
    </row>
    <row r="17" spans="1:13">
      <c r="A17" s="16" t="s">
        <v>39</v>
      </c>
      <c r="B17" s="24"/>
      <c r="C17" s="24"/>
      <c r="D17" s="26">
        <f ca="1">IF(EDATE(C17,6)&gt;$K$1,EDATE(C17,6),IF(DATE(YEAR($K$1),MONTH(EDATE(C17,6)),DAY(EDATE(C17,6)))&lt;=$K$1,DATE(YEAR($K$1)+1,MONTH(EDATE(C17,6)),DAY(EDATE(C17,6))),DATE(YEAR($K$1),MONTH(EDATE(C17,6)),DAY(EDATE(C17,6)))))</f>
        <v>46203</v>
      </c>
      <c r="E17" s="24"/>
      <c r="F17" s="24"/>
      <c r="G17" s="24"/>
      <c r="H17" s="24"/>
      <c r="I17" s="16" t="str">
        <f>IF(H15&gt;=5,"完了","あと"&amp;(5-H15)&amp;"日")</f>
        <v>あと5日</v>
      </c>
      <c r="J17" s="137"/>
      <c r="K17" s="137"/>
      <c r="L17" s="137"/>
      <c r="M17" s="137"/>
    </row>
    <row r="19" spans="1:13">
      <c r="B19" s="28" t="s">
        <v>40</v>
      </c>
    </row>
    <row r="20" spans="1:13">
      <c r="B20" s="1" t="s">
        <v>41</v>
      </c>
    </row>
    <row r="21" spans="1:13">
      <c r="B21" s="1" t="s">
        <v>42</v>
      </c>
    </row>
    <row r="22" spans="1:13">
      <c r="B22" s="1" t="s">
        <v>43</v>
      </c>
    </row>
    <row r="23" spans="1:13">
      <c r="B23" s="1" t="s">
        <v>44</v>
      </c>
    </row>
  </sheetData>
  <mergeCells count="15">
    <mergeCell ref="J3:M3"/>
    <mergeCell ref="J4:M4"/>
    <mergeCell ref="J5:M5"/>
    <mergeCell ref="J6:M6"/>
    <mergeCell ref="J7:M7"/>
    <mergeCell ref="J8:M8"/>
    <mergeCell ref="J9:M9"/>
    <mergeCell ref="J10:M10"/>
    <mergeCell ref="J11:M11"/>
    <mergeCell ref="J12:M12"/>
    <mergeCell ref="J13:M13"/>
    <mergeCell ref="J14:M14"/>
    <mergeCell ref="J15:M15"/>
    <mergeCell ref="J16:M16"/>
    <mergeCell ref="J17:M17"/>
  </mergeCells>
  <phoneticPr fontId="31"/>
  <conditionalFormatting sqref="E4">
    <cfRule type="expression" dxfId="5" priority="12">
      <formula>AND(D4-TODAY()&lt;=45, D4-TODAY()&gt;=0, F4&gt;0)</formula>
    </cfRule>
  </conditionalFormatting>
  <conditionalFormatting sqref="E5:E8">
    <cfRule type="expression" dxfId="4" priority="8">
      <formula>AND(D5-TODAY()&lt;=45, D5-TODAY()&gt;=0, F5&gt;0)</formula>
    </cfRule>
  </conditionalFormatting>
  <conditionalFormatting sqref="E9">
    <cfRule type="expression" dxfId="3" priority="7">
      <formula>AND(D9AY()&lt;=45, D9-TODAY()&gt;=0, F9&gt;0)</formula>
    </cfRule>
  </conditionalFormatting>
  <conditionalFormatting sqref="E10">
    <cfRule type="expression" dxfId="2" priority="6">
      <formula>AND(D10AY()&lt;=45, D10-TODAY()&gt;=0, F10&gt;0)</formula>
    </cfRule>
  </conditionalFormatting>
  <conditionalFormatting sqref="E11">
    <cfRule type="expression" dxfId="1" priority="4">
      <formula>AND(D11AY()&lt;=45, D11-TODAY()&gt;=0, F11&gt;0)</formula>
    </cfRule>
  </conditionalFormatting>
  <conditionalFormatting sqref="E11:E13">
    <cfRule type="expression" dxfId="0" priority="1">
      <formula>AND(D11-TODAY()&lt;=45,D11-TODAY()&gt;=0,F11&gt;0)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3"/>
  <sheetViews>
    <sheetView zoomScaleNormal="100" workbookViewId="0">
      <selection activeCell="M19" sqref="M19"/>
    </sheetView>
  </sheetViews>
  <sheetFormatPr defaultColWidth="8.125" defaultRowHeight="13.5" customHeight="1"/>
  <cols>
    <col min="1" max="1" width="18.875" style="29" customWidth="1"/>
    <col min="2" max="2" width="6.25" style="30" customWidth="1"/>
    <col min="3" max="11" width="11.25" style="29" customWidth="1"/>
    <col min="12" max="12" width="8.125" style="29" customWidth="1"/>
    <col min="13" max="16384" width="8.125" style="29"/>
  </cols>
  <sheetData>
    <row r="1" spans="1:11" ht="18" customHeight="1">
      <c r="A1" s="31" t="s">
        <v>45</v>
      </c>
    </row>
    <row r="2" spans="1:11" ht="14.25" customHeight="1">
      <c r="A2" s="32" t="s">
        <v>46</v>
      </c>
      <c r="B2" s="148" t="s">
        <v>47</v>
      </c>
      <c r="C2" s="149"/>
    </row>
    <row r="3" spans="1:11" ht="14.25" customHeight="1">
      <c r="A3" s="32" t="s">
        <v>4</v>
      </c>
      <c r="B3" s="150">
        <v>41365</v>
      </c>
      <c r="C3" s="151"/>
    </row>
    <row r="4" spans="1:11" ht="14.25" customHeight="1">
      <c r="A4" s="33"/>
      <c r="B4" s="34"/>
    </row>
    <row r="5" spans="1:11">
      <c r="A5" s="135" t="s">
        <v>48</v>
      </c>
      <c r="B5" s="152"/>
      <c r="C5" s="35">
        <f>DATE(YEAR($B$3),MONTH($B$3)+6,DAY($B$3))</f>
        <v>41548</v>
      </c>
      <c r="D5" s="35">
        <f>DATE(YEAR(C5)+1,MONTH(C5),DAY(C5))</f>
        <v>41913</v>
      </c>
      <c r="E5" s="35">
        <f>DATE(YEAR(D5)+1,MONTH(D5),DAY(D5))</f>
        <v>42278</v>
      </c>
      <c r="F5" s="35">
        <f t="shared" ref="F5:K5" si="0">DATE(YEAR(E5)+1,MONTH(E5),DAY(E5))</f>
        <v>42644</v>
      </c>
      <c r="G5" s="35">
        <f t="shared" si="0"/>
        <v>43009</v>
      </c>
      <c r="H5" s="35">
        <f t="shared" si="0"/>
        <v>43374</v>
      </c>
      <c r="I5" s="35">
        <f t="shared" si="0"/>
        <v>43739</v>
      </c>
      <c r="J5" s="35">
        <f t="shared" si="0"/>
        <v>44105</v>
      </c>
      <c r="K5" s="35">
        <f t="shared" si="0"/>
        <v>44470</v>
      </c>
    </row>
    <row r="6" spans="1:11">
      <c r="A6" s="136" t="s">
        <v>49</v>
      </c>
      <c r="B6" s="153"/>
      <c r="C6" s="36">
        <f>DATE(YEAR($C$5)+2,MONTH($C$5),DAY($C$5)-1)</f>
        <v>42277</v>
      </c>
      <c r="D6" s="36">
        <f>DATE(YEAR($D$5)+2,MONTH($D$5),DAY($D$5)-1)</f>
        <v>42643</v>
      </c>
      <c r="E6" s="36">
        <f>DATE(YEAR($E$5)+2,MONTH($E$5),DAY($E$5)-1)</f>
        <v>43008</v>
      </c>
      <c r="F6" s="36">
        <f>DATE(YEAR($F$5)+2,MONTH($F$5),DAY($F$5)-1)</f>
        <v>43373</v>
      </c>
      <c r="G6" s="36">
        <f>DATE(YEAR($G$5)+2,MONTH($G$5),DAY($G$5)-1)</f>
        <v>43738</v>
      </c>
      <c r="H6" s="36">
        <f>DATE(YEAR($H$5)+2,MONTH($H$5),DAY($H$5)-1)</f>
        <v>44104</v>
      </c>
      <c r="I6" s="36">
        <f>DATE(YEAR($I$5)+2,MONTH($I$5),DAY($I$5)-1)</f>
        <v>44469</v>
      </c>
      <c r="J6" s="36">
        <f>DATE(YEAR($J$5)+2,MONTH($J$5),DAY($J$5)-1)</f>
        <v>44834</v>
      </c>
      <c r="K6" s="37">
        <f>DATE(YEAR($K$5)+2,MONTH($K$5),DAY($K$5)-1)</f>
        <v>45199</v>
      </c>
    </row>
    <row r="7" spans="1:11">
      <c r="A7" s="136" t="s">
        <v>50</v>
      </c>
      <c r="B7" s="153"/>
      <c r="C7" s="38" t="s">
        <v>51</v>
      </c>
      <c r="D7" s="38" t="s">
        <v>52</v>
      </c>
      <c r="E7" s="38" t="s">
        <v>53</v>
      </c>
      <c r="F7" s="38" t="s">
        <v>54</v>
      </c>
      <c r="G7" s="38" t="s">
        <v>55</v>
      </c>
      <c r="H7" s="38" t="s">
        <v>56</v>
      </c>
      <c r="I7" s="38" t="s">
        <v>57</v>
      </c>
      <c r="J7" s="38" t="s">
        <v>58</v>
      </c>
      <c r="K7" s="39" t="s">
        <v>59</v>
      </c>
    </row>
    <row r="8" spans="1:11" ht="14.25" customHeight="1">
      <c r="A8" s="122" t="s">
        <v>60</v>
      </c>
      <c r="B8" s="143"/>
      <c r="C8" s="40">
        <v>10</v>
      </c>
      <c r="D8" s="40">
        <v>11</v>
      </c>
      <c r="E8" s="40">
        <v>12</v>
      </c>
      <c r="F8" s="40">
        <v>14</v>
      </c>
      <c r="G8" s="40">
        <v>16</v>
      </c>
      <c r="H8" s="40">
        <v>18</v>
      </c>
      <c r="I8" s="40">
        <v>20</v>
      </c>
      <c r="J8" s="40">
        <v>20</v>
      </c>
      <c r="K8" s="41">
        <v>20</v>
      </c>
    </row>
    <row r="9" spans="1:11">
      <c r="A9" s="124" t="s">
        <v>61</v>
      </c>
      <c r="B9" s="42" t="s">
        <v>62</v>
      </c>
      <c r="C9" s="43">
        <v>41557</v>
      </c>
      <c r="D9" s="43">
        <v>42095</v>
      </c>
      <c r="E9" s="43">
        <v>42675</v>
      </c>
      <c r="F9" s="44">
        <v>43044</v>
      </c>
      <c r="G9" s="44">
        <v>43374</v>
      </c>
      <c r="H9" s="44"/>
      <c r="I9" s="44"/>
      <c r="J9" s="44"/>
      <c r="K9" s="45"/>
    </row>
    <row r="10" spans="1:11">
      <c r="A10" s="144"/>
      <c r="B10" s="46" t="s">
        <v>63</v>
      </c>
      <c r="C10" s="47">
        <v>41638</v>
      </c>
      <c r="D10" s="47">
        <v>42127</v>
      </c>
      <c r="E10" s="47">
        <v>42826</v>
      </c>
      <c r="F10" s="48"/>
      <c r="G10" s="48">
        <v>43375</v>
      </c>
      <c r="H10" s="48"/>
      <c r="I10" s="48"/>
      <c r="J10" s="48"/>
      <c r="K10" s="49"/>
    </row>
    <row r="11" spans="1:11">
      <c r="A11" s="144"/>
      <c r="B11" s="46" t="s">
        <v>64</v>
      </c>
      <c r="C11" s="47">
        <v>41643</v>
      </c>
      <c r="D11" s="47">
        <v>42130</v>
      </c>
      <c r="E11" s="47">
        <v>43008</v>
      </c>
      <c r="F11" s="48"/>
      <c r="G11" s="48"/>
      <c r="H11" s="48"/>
      <c r="I11" s="48"/>
      <c r="J11" s="48"/>
      <c r="K11" s="49"/>
    </row>
    <row r="12" spans="1:11">
      <c r="A12" s="144"/>
      <c r="B12" s="46" t="s">
        <v>65</v>
      </c>
      <c r="C12" s="47">
        <v>41761</v>
      </c>
      <c r="D12" s="47">
        <v>42186</v>
      </c>
      <c r="E12" s="47"/>
      <c r="F12" s="48"/>
      <c r="G12" s="48"/>
      <c r="H12" s="48"/>
      <c r="I12" s="48"/>
      <c r="J12" s="48"/>
      <c r="K12" s="49"/>
    </row>
    <row r="13" spans="1:11">
      <c r="A13" s="144"/>
      <c r="B13" s="46" t="s">
        <v>66</v>
      </c>
      <c r="C13" s="47">
        <v>41762</v>
      </c>
      <c r="D13" s="47">
        <v>42368</v>
      </c>
      <c r="E13" s="47"/>
      <c r="F13" s="48"/>
      <c r="G13" s="48"/>
      <c r="H13" s="48"/>
      <c r="I13" s="48"/>
      <c r="J13" s="48"/>
      <c r="K13" s="49"/>
    </row>
    <row r="14" spans="1:11">
      <c r="A14" s="144"/>
      <c r="B14" s="46" t="s">
        <v>67</v>
      </c>
      <c r="C14" s="47">
        <v>41902</v>
      </c>
      <c r="D14" s="47">
        <v>42373</v>
      </c>
      <c r="E14" s="47"/>
      <c r="F14" s="48"/>
      <c r="G14" s="48"/>
      <c r="H14" s="48"/>
      <c r="I14" s="48"/>
      <c r="J14" s="48"/>
      <c r="K14" s="49"/>
    </row>
    <row r="15" spans="1:11">
      <c r="A15" s="144"/>
      <c r="B15" s="46" t="s">
        <v>68</v>
      </c>
      <c r="C15" s="47">
        <v>41913</v>
      </c>
      <c r="D15" s="47">
        <v>42460</v>
      </c>
      <c r="E15" s="47"/>
      <c r="F15" s="48"/>
      <c r="G15" s="48"/>
      <c r="H15" s="48"/>
      <c r="I15" s="48"/>
      <c r="J15" s="48"/>
      <c r="K15" s="49"/>
    </row>
    <row r="16" spans="1:11">
      <c r="A16" s="144"/>
      <c r="B16" s="46" t="s">
        <v>69</v>
      </c>
      <c r="C16" s="47">
        <v>42003</v>
      </c>
      <c r="D16" s="47"/>
      <c r="E16" s="47"/>
      <c r="F16" s="48"/>
      <c r="G16" s="48"/>
      <c r="H16" s="48"/>
      <c r="I16" s="48"/>
      <c r="J16" s="48"/>
      <c r="K16" s="49"/>
    </row>
    <row r="17" spans="1:11">
      <c r="A17" s="144"/>
      <c r="B17" s="46" t="s">
        <v>70</v>
      </c>
      <c r="C17" s="47">
        <v>42007</v>
      </c>
      <c r="D17" s="47"/>
      <c r="E17" s="47"/>
      <c r="F17" s="48"/>
      <c r="G17" s="48"/>
      <c r="H17" s="48"/>
      <c r="I17" s="48"/>
      <c r="J17" s="48"/>
      <c r="K17" s="49"/>
    </row>
    <row r="18" spans="1:11" ht="14.25" customHeight="1">
      <c r="A18" s="144"/>
      <c r="B18" s="46" t="s">
        <v>71</v>
      </c>
      <c r="C18" s="50">
        <v>42093</v>
      </c>
      <c r="D18" s="47"/>
      <c r="E18" s="48"/>
      <c r="F18" s="48"/>
      <c r="G18" s="48"/>
      <c r="H18" s="48"/>
      <c r="I18" s="48"/>
      <c r="J18" s="48"/>
      <c r="K18" s="49"/>
    </row>
    <row r="19" spans="1:11" ht="14.25" customHeight="1">
      <c r="A19" s="144"/>
      <c r="B19" s="46" t="s">
        <v>72</v>
      </c>
      <c r="C19" s="51"/>
      <c r="D19" s="50"/>
      <c r="E19" s="48"/>
      <c r="F19" s="48"/>
      <c r="G19" s="48"/>
      <c r="H19" s="48"/>
      <c r="I19" s="48"/>
      <c r="J19" s="48"/>
      <c r="K19" s="49"/>
    </row>
    <row r="20" spans="1:11" ht="14.25" customHeight="1">
      <c r="A20" s="144"/>
      <c r="B20" s="46" t="s">
        <v>73</v>
      </c>
      <c r="C20" s="52"/>
      <c r="D20" s="51"/>
      <c r="E20" s="53"/>
      <c r="F20" s="48"/>
      <c r="G20" s="48"/>
      <c r="H20" s="48"/>
      <c r="I20" s="48"/>
      <c r="J20" s="48"/>
      <c r="K20" s="49"/>
    </row>
    <row r="21" spans="1:11">
      <c r="A21" s="144"/>
      <c r="B21" s="46" t="s">
        <v>74</v>
      </c>
      <c r="C21" s="52"/>
      <c r="D21" s="52"/>
      <c r="E21" s="51"/>
      <c r="F21" s="48"/>
      <c r="G21" s="48"/>
      <c r="H21" s="48"/>
      <c r="I21" s="48"/>
      <c r="J21" s="48"/>
      <c r="K21" s="49"/>
    </row>
    <row r="22" spans="1:11" ht="14.25" customHeight="1">
      <c r="A22" s="144"/>
      <c r="B22" s="46" t="s">
        <v>75</v>
      </c>
      <c r="C22" s="52"/>
      <c r="D22" s="52"/>
      <c r="E22" s="52"/>
      <c r="F22" s="53"/>
      <c r="G22" s="48"/>
      <c r="H22" s="48"/>
      <c r="I22" s="48"/>
      <c r="J22" s="48"/>
      <c r="K22" s="49"/>
    </row>
    <row r="23" spans="1:11">
      <c r="A23" s="144"/>
      <c r="B23" s="46" t="s">
        <v>76</v>
      </c>
      <c r="C23" s="52"/>
      <c r="D23" s="52"/>
      <c r="E23" s="52"/>
      <c r="F23" s="51"/>
      <c r="G23" s="54"/>
      <c r="H23" s="54"/>
      <c r="I23" s="54"/>
      <c r="J23" s="54"/>
      <c r="K23" s="55"/>
    </row>
    <row r="24" spans="1:11" ht="14.25" customHeight="1">
      <c r="A24" s="144"/>
      <c r="B24" s="46" t="s">
        <v>77</v>
      </c>
      <c r="C24" s="52"/>
      <c r="D24" s="52"/>
      <c r="E24" s="52"/>
      <c r="F24" s="52"/>
      <c r="G24" s="56"/>
      <c r="H24" s="54"/>
      <c r="I24" s="54"/>
      <c r="J24" s="54"/>
      <c r="K24" s="55"/>
    </row>
    <row r="25" spans="1:11">
      <c r="A25" s="144"/>
      <c r="B25" s="46" t="s">
        <v>78</v>
      </c>
      <c r="C25" s="52"/>
      <c r="D25" s="52"/>
      <c r="E25" s="52"/>
      <c r="F25" s="52"/>
      <c r="G25" s="51"/>
      <c r="H25" s="54"/>
      <c r="I25" s="54"/>
      <c r="J25" s="54"/>
      <c r="K25" s="55"/>
    </row>
    <row r="26" spans="1:11" ht="14.25" customHeight="1">
      <c r="A26" s="144"/>
      <c r="B26" s="46" t="s">
        <v>79</v>
      </c>
      <c r="C26" s="52"/>
      <c r="D26" s="52"/>
      <c r="E26" s="52"/>
      <c r="F26" s="52"/>
      <c r="G26" s="52"/>
      <c r="H26" s="56"/>
      <c r="I26" s="54"/>
      <c r="J26" s="54"/>
      <c r="K26" s="55"/>
    </row>
    <row r="27" spans="1:11">
      <c r="A27" s="144"/>
      <c r="B27" s="46" t="s">
        <v>80</v>
      </c>
      <c r="C27" s="52"/>
      <c r="D27" s="52"/>
      <c r="E27" s="52"/>
      <c r="F27" s="52"/>
      <c r="G27" s="52"/>
      <c r="H27" s="51"/>
      <c r="I27" s="54"/>
      <c r="J27" s="54"/>
      <c r="K27" s="55"/>
    </row>
    <row r="28" spans="1:11" ht="14.25" customHeight="1">
      <c r="A28" s="144"/>
      <c r="B28" s="57" t="s">
        <v>81</v>
      </c>
      <c r="C28" s="58"/>
      <c r="D28" s="58"/>
      <c r="E28" s="58"/>
      <c r="F28" s="58"/>
      <c r="G28" s="58"/>
      <c r="H28" s="58"/>
      <c r="I28" s="59"/>
      <c r="J28" s="59"/>
      <c r="K28" s="60"/>
    </row>
    <row r="29" spans="1:11">
      <c r="A29" s="135" t="s">
        <v>82</v>
      </c>
      <c r="B29" s="145"/>
      <c r="C29" s="61">
        <f>COUNTA(C9:C28)</f>
        <v>10</v>
      </c>
      <c r="D29" s="61">
        <f t="shared" ref="D29:K29" si="1">COUNTA(D9:D28)</f>
        <v>7</v>
      </c>
      <c r="E29" s="61">
        <f t="shared" si="1"/>
        <v>3</v>
      </c>
      <c r="F29" s="61">
        <f t="shared" si="1"/>
        <v>1</v>
      </c>
      <c r="G29" s="61">
        <f t="shared" si="1"/>
        <v>2</v>
      </c>
      <c r="H29" s="61">
        <f t="shared" si="1"/>
        <v>0</v>
      </c>
      <c r="I29" s="61">
        <f t="shared" si="1"/>
        <v>0</v>
      </c>
      <c r="J29" s="61">
        <f t="shared" si="1"/>
        <v>0</v>
      </c>
      <c r="K29" s="62">
        <f t="shared" si="1"/>
        <v>0</v>
      </c>
    </row>
    <row r="30" spans="1:11" ht="14.25" customHeight="1">
      <c r="A30" s="122" t="s">
        <v>83</v>
      </c>
      <c r="B30" s="146"/>
      <c r="C30" s="63">
        <f>C8-C29</f>
        <v>0</v>
      </c>
      <c r="D30" s="63">
        <f>D8-D29</f>
        <v>4</v>
      </c>
      <c r="E30" s="63">
        <f t="shared" ref="E30:K30" si="2">E8-E29</f>
        <v>9</v>
      </c>
      <c r="F30" s="63">
        <f t="shared" si="2"/>
        <v>13</v>
      </c>
      <c r="G30" s="63">
        <f t="shared" si="2"/>
        <v>14</v>
      </c>
      <c r="H30" s="63">
        <f t="shared" si="2"/>
        <v>18</v>
      </c>
      <c r="I30" s="63">
        <f t="shared" si="2"/>
        <v>20</v>
      </c>
      <c r="J30" s="63">
        <f t="shared" si="2"/>
        <v>20</v>
      </c>
      <c r="K30" s="64">
        <f t="shared" si="2"/>
        <v>20</v>
      </c>
    </row>
    <row r="31" spans="1:11" s="65" customFormat="1" ht="14.25" customHeight="1">
      <c r="A31" s="130" t="s">
        <v>48</v>
      </c>
      <c r="B31" s="147"/>
      <c r="C31" s="66">
        <f>C5</f>
        <v>41548</v>
      </c>
      <c r="D31" s="66">
        <f t="shared" ref="D31:K32" si="3">D5</f>
        <v>41913</v>
      </c>
      <c r="E31" s="66">
        <f t="shared" si="3"/>
        <v>42278</v>
      </c>
      <c r="F31" s="66">
        <f t="shared" si="3"/>
        <v>42644</v>
      </c>
      <c r="G31" s="66">
        <f t="shared" si="3"/>
        <v>43009</v>
      </c>
      <c r="H31" s="66">
        <f t="shared" si="3"/>
        <v>43374</v>
      </c>
      <c r="I31" s="66">
        <f t="shared" si="3"/>
        <v>43739</v>
      </c>
      <c r="J31" s="66">
        <f t="shared" si="3"/>
        <v>44105</v>
      </c>
      <c r="K31" s="66">
        <f t="shared" si="3"/>
        <v>44470</v>
      </c>
    </row>
    <row r="32" spans="1:11">
      <c r="A32" s="118" t="s">
        <v>49</v>
      </c>
      <c r="B32" s="142"/>
      <c r="C32" s="67">
        <f>C6</f>
        <v>42277</v>
      </c>
      <c r="D32" s="67">
        <f t="shared" si="3"/>
        <v>42643</v>
      </c>
      <c r="E32" s="67">
        <f t="shared" si="3"/>
        <v>43008</v>
      </c>
      <c r="F32" s="67">
        <f t="shared" si="3"/>
        <v>43373</v>
      </c>
      <c r="G32" s="68">
        <f t="shared" si="3"/>
        <v>43738</v>
      </c>
      <c r="H32" s="68">
        <f t="shared" si="3"/>
        <v>44104</v>
      </c>
      <c r="I32" s="68">
        <f t="shared" si="3"/>
        <v>44469</v>
      </c>
      <c r="J32" s="68">
        <f t="shared" si="3"/>
        <v>44834</v>
      </c>
      <c r="K32" s="68">
        <f t="shared" si="3"/>
        <v>45199</v>
      </c>
    </row>
    <row r="33" spans="1:11" ht="17.25" customHeight="1">
      <c r="A33" s="120" t="s">
        <v>84</v>
      </c>
      <c r="B33" s="120"/>
      <c r="C33" s="120"/>
      <c r="D33" s="120"/>
      <c r="E33" s="120"/>
      <c r="F33" s="120"/>
      <c r="G33" s="120"/>
      <c r="H33" s="120"/>
      <c r="I33" s="120"/>
      <c r="J33" s="120"/>
      <c r="K33" s="120"/>
    </row>
  </sheetData>
  <mergeCells count="12">
    <mergeCell ref="B2:C2"/>
    <mergeCell ref="B3:C3"/>
    <mergeCell ref="A5:B5"/>
    <mergeCell ref="A6:B6"/>
    <mergeCell ref="A7:B7"/>
    <mergeCell ref="A32:B32"/>
    <mergeCell ref="A33:K33"/>
    <mergeCell ref="A8:B8"/>
    <mergeCell ref="A9:A28"/>
    <mergeCell ref="A29:B29"/>
    <mergeCell ref="A30:B30"/>
    <mergeCell ref="A31:B31"/>
  </mergeCells>
  <phoneticPr fontId="31"/>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3"/>
  <sheetViews>
    <sheetView zoomScale="76" zoomScaleNormal="76" workbookViewId="0">
      <selection activeCell="M27" sqref="M27"/>
    </sheetView>
  </sheetViews>
  <sheetFormatPr defaultColWidth="8.125" defaultRowHeight="13.5" customHeight="1"/>
  <cols>
    <col min="1" max="1" width="18.875" style="29" customWidth="1"/>
    <col min="2" max="2" width="6.25" style="30" customWidth="1"/>
    <col min="3" max="13" width="13" style="29" customWidth="1"/>
    <col min="14" max="14" width="12.75" style="29" customWidth="1"/>
    <col min="15" max="18" width="13" style="29" customWidth="1"/>
    <col min="19" max="19" width="8.125" style="29" customWidth="1"/>
    <col min="20" max="16384" width="8.125" style="29"/>
  </cols>
  <sheetData>
    <row r="1" spans="1:18" ht="40.5" customHeight="1">
      <c r="A1" s="31" t="s">
        <v>45</v>
      </c>
    </row>
    <row r="2" spans="1:18" ht="19.5" customHeight="1">
      <c r="A2" s="32" t="s">
        <v>46</v>
      </c>
      <c r="B2" s="154" t="s">
        <v>85</v>
      </c>
      <c r="C2" s="133"/>
      <c r="N2" s="69" t="s">
        <v>86</v>
      </c>
      <c r="O2" s="69"/>
      <c r="P2" s="69"/>
    </row>
    <row r="3" spans="1:18" ht="21" customHeight="1">
      <c r="A3" s="32" t="s">
        <v>4</v>
      </c>
      <c r="B3" s="134">
        <v>40680</v>
      </c>
      <c r="C3" s="133"/>
    </row>
    <row r="4" spans="1:18" ht="13.9" customHeight="1">
      <c r="A4" s="33"/>
      <c r="B4" s="34"/>
    </row>
    <row r="5" spans="1:18" ht="18.75" customHeight="1">
      <c r="A5" s="135" t="s">
        <v>48</v>
      </c>
      <c r="B5" s="131"/>
      <c r="C5" s="35">
        <f>DATE(YEAR($B$3),MONTH($B$3)+6,DAY($B$3))</f>
        <v>40864</v>
      </c>
      <c r="D5" s="35">
        <f t="shared" ref="D5:R5" si="0">DATE(YEAR(C5)+1,MONTH(C5),DAY(C5))</f>
        <v>41230</v>
      </c>
      <c r="E5" s="35">
        <f t="shared" si="0"/>
        <v>41595</v>
      </c>
      <c r="F5" s="35">
        <f t="shared" si="0"/>
        <v>41960</v>
      </c>
      <c r="G5" s="35">
        <f t="shared" si="0"/>
        <v>42325</v>
      </c>
      <c r="H5" s="35">
        <f t="shared" si="0"/>
        <v>42691</v>
      </c>
      <c r="I5" s="35">
        <f t="shared" si="0"/>
        <v>43056</v>
      </c>
      <c r="J5" s="35">
        <f t="shared" si="0"/>
        <v>43421</v>
      </c>
      <c r="K5" s="35">
        <f t="shared" si="0"/>
        <v>43786</v>
      </c>
      <c r="L5" s="35">
        <f t="shared" si="0"/>
        <v>44152</v>
      </c>
      <c r="M5" s="35">
        <f t="shared" si="0"/>
        <v>44517</v>
      </c>
      <c r="N5" s="35">
        <f t="shared" si="0"/>
        <v>44882</v>
      </c>
      <c r="O5" s="35">
        <f t="shared" si="0"/>
        <v>45247</v>
      </c>
      <c r="P5" s="35">
        <f t="shared" si="0"/>
        <v>45613</v>
      </c>
      <c r="Q5" s="35">
        <f t="shared" si="0"/>
        <v>45978</v>
      </c>
      <c r="R5" s="35">
        <f t="shared" si="0"/>
        <v>46343</v>
      </c>
    </row>
    <row r="6" spans="1:18" ht="18.75" customHeight="1">
      <c r="A6" s="136" t="s">
        <v>49</v>
      </c>
      <c r="B6" s="119"/>
      <c r="C6" s="36">
        <f>DATE(YEAR($C$5)+2,MONTH($C$5),DAY($C$5)-1)</f>
        <v>41594</v>
      </c>
      <c r="D6" s="36">
        <f>DATE(YEAR($D$5)+2,MONTH($D$5),DAY($D$5)-1)</f>
        <v>41959</v>
      </c>
      <c r="E6" s="36">
        <f>DATE(YEAR($E$5)+2,MONTH($E$5),DAY($E$5)-1)</f>
        <v>42324</v>
      </c>
      <c r="F6" s="36">
        <f>DATE(YEAR($F$5)+2,MONTH($F$5),DAY($F$5)-1)</f>
        <v>42690</v>
      </c>
      <c r="G6" s="36">
        <f>DATE(YEAR($G$5)+2,MONTH($G$5),DAY($G$5)-1)</f>
        <v>43055</v>
      </c>
      <c r="H6" s="36">
        <f>DATE(YEAR($H$5)+2,MONTH($H$5),DAY($H$5)-1)</f>
        <v>43420</v>
      </c>
      <c r="I6" s="36">
        <f>DATE(YEAR($I$5)+2,MONTH($I$5),DAY($I$5)-1)</f>
        <v>43785</v>
      </c>
      <c r="J6" s="36">
        <f>DATE(YEAR($J$5)+2,MONTH($J$5),DAY($J$5)-1)</f>
        <v>44151</v>
      </c>
      <c r="K6" s="37">
        <f>DATE(YEAR($K$5)+2,MONTH($K$5),DAY($K$5)-1)</f>
        <v>44516</v>
      </c>
      <c r="L6" s="37">
        <f>DATE(YEAR($L$5)+2,MONTH($K$5),DAY($K$5)-1)</f>
        <v>44881</v>
      </c>
      <c r="M6" s="37">
        <f>DATE(YEAR($M$5)+2,MONTH($K$5),DAY($K$5)-1)</f>
        <v>45246</v>
      </c>
      <c r="N6" s="37">
        <f>DATE(YEAR($N$5)+2,MONTH($K$5),DAY($K$5)-1)</f>
        <v>45612</v>
      </c>
      <c r="O6" s="37">
        <f>DATE(YEAR($O$5)+2,MONTH($K$5),DAY($K$5)-1)</f>
        <v>45977</v>
      </c>
      <c r="P6" s="37">
        <f>DATE(YEAR($P$5)+2,MONTH($K$5),DAY($K$5)-1)</f>
        <v>46342</v>
      </c>
      <c r="Q6" s="37">
        <f>DATE(YEAR($Q$5)+2,MONTH($K$5),DAY($K$5)-1)</f>
        <v>46707</v>
      </c>
      <c r="R6" s="37">
        <f>DATE(YEAR($R$5)+2,MONTH($K$5),DAY($K$5)-1)</f>
        <v>47073</v>
      </c>
    </row>
    <row r="7" spans="1:18" ht="18.75" customHeight="1">
      <c r="A7" s="136" t="s">
        <v>50</v>
      </c>
      <c r="B7" s="119"/>
      <c r="C7" s="38" t="s">
        <v>51</v>
      </c>
      <c r="D7" s="38" t="s">
        <v>52</v>
      </c>
      <c r="E7" s="38" t="s">
        <v>53</v>
      </c>
      <c r="F7" s="38" t="s">
        <v>54</v>
      </c>
      <c r="G7" s="38" t="s">
        <v>55</v>
      </c>
      <c r="H7" s="38" t="s">
        <v>56</v>
      </c>
      <c r="I7" s="38" t="s">
        <v>57</v>
      </c>
      <c r="J7" s="38" t="s">
        <v>58</v>
      </c>
      <c r="K7" s="39" t="s">
        <v>59</v>
      </c>
      <c r="L7" s="39" t="s">
        <v>87</v>
      </c>
      <c r="M7" s="39" t="s">
        <v>88</v>
      </c>
      <c r="N7" s="39" t="s">
        <v>89</v>
      </c>
      <c r="O7" s="39" t="s">
        <v>90</v>
      </c>
      <c r="P7" s="39" t="s">
        <v>91</v>
      </c>
      <c r="Q7" s="39" t="s">
        <v>92</v>
      </c>
      <c r="R7" s="39" t="s">
        <v>93</v>
      </c>
    </row>
    <row r="8" spans="1:18" ht="18.75" customHeight="1">
      <c r="A8" s="122" t="s">
        <v>60</v>
      </c>
      <c r="B8" s="123"/>
      <c r="C8" s="40">
        <v>10</v>
      </c>
      <c r="D8" s="40">
        <v>11</v>
      </c>
      <c r="E8" s="40">
        <v>12</v>
      </c>
      <c r="F8" s="40">
        <v>14</v>
      </c>
      <c r="G8" s="40">
        <v>16</v>
      </c>
      <c r="H8" s="40">
        <v>18</v>
      </c>
      <c r="I8" s="40">
        <v>20</v>
      </c>
      <c r="J8" s="40">
        <v>20</v>
      </c>
      <c r="K8" s="41">
        <v>20</v>
      </c>
      <c r="L8" s="41">
        <v>20</v>
      </c>
      <c r="M8" s="41">
        <v>20</v>
      </c>
      <c r="N8" s="41">
        <v>20</v>
      </c>
      <c r="O8" s="41">
        <v>20</v>
      </c>
      <c r="P8" s="41">
        <v>20</v>
      </c>
      <c r="Q8" s="41">
        <v>20</v>
      </c>
      <c r="R8" s="41">
        <v>20</v>
      </c>
    </row>
    <row r="9" spans="1:18" ht="18.75" customHeight="1">
      <c r="A9" s="124" t="s">
        <v>61</v>
      </c>
      <c r="B9" s="42" t="s">
        <v>62</v>
      </c>
      <c r="C9" s="70"/>
      <c r="D9" s="70"/>
      <c r="E9" s="70"/>
      <c r="F9" s="71"/>
      <c r="G9" s="71"/>
      <c r="H9" s="71"/>
      <c r="I9" s="71"/>
      <c r="J9" s="71"/>
      <c r="K9" s="72">
        <v>44491</v>
      </c>
      <c r="L9" s="72">
        <v>44672</v>
      </c>
      <c r="M9" s="72">
        <v>45057</v>
      </c>
      <c r="N9" s="72">
        <v>45393</v>
      </c>
      <c r="O9" s="72">
        <v>45770</v>
      </c>
      <c r="P9" s="73">
        <v>46135</v>
      </c>
      <c r="Q9" s="72"/>
      <c r="R9" s="72"/>
    </row>
    <row r="10" spans="1:18" ht="18.75" customHeight="1">
      <c r="A10" s="125"/>
      <c r="B10" s="46" t="s">
        <v>63</v>
      </c>
      <c r="C10" s="74"/>
      <c r="D10" s="74"/>
      <c r="E10" s="74"/>
      <c r="F10" s="75"/>
      <c r="G10" s="75"/>
      <c r="H10" s="75"/>
      <c r="I10" s="75"/>
      <c r="J10" s="75"/>
      <c r="K10" s="76">
        <v>44492</v>
      </c>
      <c r="L10" s="76">
        <v>44673</v>
      </c>
      <c r="M10" s="76">
        <v>45058</v>
      </c>
      <c r="N10" s="76">
        <v>45394</v>
      </c>
      <c r="O10" s="76">
        <v>45771</v>
      </c>
      <c r="P10" s="77">
        <v>46136</v>
      </c>
      <c r="Q10" s="76"/>
      <c r="R10" s="76"/>
    </row>
    <row r="11" spans="1:18" ht="18.75" customHeight="1">
      <c r="A11" s="125"/>
      <c r="B11" s="46" t="s">
        <v>64</v>
      </c>
      <c r="C11" s="74"/>
      <c r="D11" s="74"/>
      <c r="E11" s="74"/>
      <c r="F11" s="75"/>
      <c r="G11" s="75"/>
      <c r="H11" s="75"/>
      <c r="I11" s="75"/>
      <c r="J11" s="75"/>
      <c r="K11" s="76"/>
      <c r="L11" s="76">
        <v>44674</v>
      </c>
      <c r="M11" s="76">
        <v>45059</v>
      </c>
      <c r="N11" s="76">
        <v>45395</v>
      </c>
      <c r="O11" s="76">
        <v>45772</v>
      </c>
      <c r="P11" s="76">
        <v>46146</v>
      </c>
      <c r="Q11" s="76"/>
      <c r="R11" s="76"/>
    </row>
    <row r="12" spans="1:18" ht="18.75" customHeight="1">
      <c r="A12" s="125"/>
      <c r="B12" s="46" t="s">
        <v>65</v>
      </c>
      <c r="C12" s="74"/>
      <c r="D12" s="74"/>
      <c r="E12" s="74"/>
      <c r="F12" s="75"/>
      <c r="G12" s="75"/>
      <c r="H12" s="75"/>
      <c r="I12" s="75"/>
      <c r="J12" s="75"/>
      <c r="K12" s="76"/>
      <c r="L12" s="76"/>
      <c r="M12" s="76"/>
      <c r="N12" s="76">
        <v>45406</v>
      </c>
      <c r="O12" s="76">
        <v>45873</v>
      </c>
      <c r="P12" s="76">
        <v>46147</v>
      </c>
      <c r="Q12" s="76"/>
      <c r="R12" s="76"/>
    </row>
    <row r="13" spans="1:18" ht="18.75" customHeight="1">
      <c r="A13" s="125"/>
      <c r="B13" s="46" t="s">
        <v>66</v>
      </c>
      <c r="C13" s="74"/>
      <c r="D13" s="74"/>
      <c r="E13" s="74"/>
      <c r="F13" s="75"/>
      <c r="G13" s="75"/>
      <c r="H13" s="75"/>
      <c r="I13" s="75"/>
      <c r="J13" s="75"/>
      <c r="K13" s="76"/>
      <c r="L13" s="76"/>
      <c r="M13" s="76"/>
      <c r="N13" s="76">
        <v>45407</v>
      </c>
      <c r="O13" s="76">
        <v>45876</v>
      </c>
      <c r="P13" s="76">
        <v>46148</v>
      </c>
      <c r="Q13" s="76"/>
      <c r="R13" s="76"/>
    </row>
    <row r="14" spans="1:18" ht="18.75" customHeight="1">
      <c r="A14" s="125"/>
      <c r="B14" s="46" t="s">
        <v>67</v>
      </c>
      <c r="C14" s="74"/>
      <c r="D14" s="74"/>
      <c r="E14" s="74"/>
      <c r="F14" s="75"/>
      <c r="G14" s="75"/>
      <c r="H14" s="75"/>
      <c r="I14" s="75"/>
      <c r="J14" s="75"/>
      <c r="K14" s="76"/>
      <c r="L14" s="76"/>
      <c r="M14" s="76"/>
      <c r="N14" s="76">
        <v>45408</v>
      </c>
      <c r="O14" s="76"/>
      <c r="P14" s="76"/>
      <c r="Q14" s="76"/>
      <c r="R14" s="76"/>
    </row>
    <row r="15" spans="1:18" ht="18.75" customHeight="1">
      <c r="A15" s="125"/>
      <c r="B15" s="46" t="s">
        <v>68</v>
      </c>
      <c r="C15" s="74"/>
      <c r="D15" s="74"/>
      <c r="E15" s="74"/>
      <c r="F15" s="75"/>
      <c r="G15" s="75"/>
      <c r="H15" s="75"/>
      <c r="I15" s="75"/>
      <c r="J15" s="75"/>
      <c r="K15" s="76"/>
      <c r="L15" s="76"/>
      <c r="M15" s="76"/>
      <c r="N15" s="76">
        <v>45533</v>
      </c>
      <c r="O15" s="76"/>
      <c r="P15" s="76"/>
      <c r="Q15" s="76"/>
      <c r="R15" s="76"/>
    </row>
    <row r="16" spans="1:18" ht="18.75" customHeight="1">
      <c r="A16" s="125"/>
      <c r="B16" s="46" t="s">
        <v>69</v>
      </c>
      <c r="C16" s="74"/>
      <c r="D16" s="74"/>
      <c r="E16" s="74"/>
      <c r="F16" s="75"/>
      <c r="G16" s="75"/>
      <c r="H16" s="75"/>
      <c r="I16" s="75"/>
      <c r="J16" s="75"/>
      <c r="K16" s="76"/>
      <c r="L16" s="76"/>
      <c r="M16" s="76"/>
      <c r="N16" s="76">
        <v>45534</v>
      </c>
      <c r="O16" s="76"/>
      <c r="P16" s="76"/>
      <c r="Q16" s="76"/>
      <c r="R16" s="76"/>
    </row>
    <row r="17" spans="1:18" ht="18.75" customHeight="1">
      <c r="A17" s="125"/>
      <c r="B17" s="46" t="s">
        <v>70</v>
      </c>
      <c r="C17" s="74"/>
      <c r="D17" s="74"/>
      <c r="E17" s="74"/>
      <c r="F17" s="75"/>
      <c r="G17" s="75"/>
      <c r="H17" s="75"/>
      <c r="I17" s="75"/>
      <c r="J17" s="75"/>
      <c r="K17" s="76"/>
      <c r="L17" s="76"/>
      <c r="M17" s="76"/>
      <c r="N17" s="76"/>
      <c r="O17" s="76"/>
      <c r="P17" s="76"/>
      <c r="Q17" s="76"/>
      <c r="R17" s="76"/>
    </row>
    <row r="18" spans="1:18" ht="18.75" customHeight="1">
      <c r="A18" s="125"/>
      <c r="B18" s="46" t="s">
        <v>71</v>
      </c>
      <c r="C18" s="78"/>
      <c r="D18" s="74"/>
      <c r="E18" s="75"/>
      <c r="F18" s="75"/>
      <c r="G18" s="75"/>
      <c r="H18" s="75"/>
      <c r="I18" s="75"/>
      <c r="J18" s="75"/>
      <c r="K18" s="76"/>
      <c r="L18" s="76"/>
      <c r="M18" s="76"/>
      <c r="N18" s="76"/>
      <c r="O18" s="76"/>
      <c r="P18" s="76"/>
      <c r="Q18" s="76"/>
      <c r="R18" s="76"/>
    </row>
    <row r="19" spans="1:18" ht="18.75" customHeight="1">
      <c r="A19" s="125"/>
      <c r="B19" s="46" t="s">
        <v>72</v>
      </c>
      <c r="C19" s="51"/>
      <c r="D19" s="78"/>
      <c r="E19" s="75"/>
      <c r="F19" s="75"/>
      <c r="G19" s="75"/>
      <c r="H19" s="75"/>
      <c r="I19" s="75"/>
      <c r="J19" s="75"/>
      <c r="K19" s="76"/>
      <c r="L19" s="76"/>
      <c r="M19" s="76"/>
      <c r="N19" s="76"/>
      <c r="O19" s="76"/>
      <c r="P19" s="76"/>
      <c r="Q19" s="76"/>
      <c r="R19" s="76"/>
    </row>
    <row r="20" spans="1:18" ht="18.75" customHeight="1">
      <c r="A20" s="125"/>
      <c r="B20" s="46" t="s">
        <v>73</v>
      </c>
      <c r="C20" s="52"/>
      <c r="D20" s="51"/>
      <c r="E20" s="79"/>
      <c r="F20" s="75"/>
      <c r="G20" s="75"/>
      <c r="H20" s="75"/>
      <c r="I20" s="75"/>
      <c r="J20" s="75"/>
      <c r="K20" s="76"/>
      <c r="L20" s="76"/>
      <c r="M20" s="76"/>
      <c r="N20" s="76"/>
      <c r="O20" s="76"/>
      <c r="P20" s="76"/>
      <c r="Q20" s="76"/>
      <c r="R20" s="76"/>
    </row>
    <row r="21" spans="1:18" ht="18.75" customHeight="1">
      <c r="A21" s="125"/>
      <c r="B21" s="46" t="s">
        <v>74</v>
      </c>
      <c r="C21" s="52"/>
      <c r="D21" s="52"/>
      <c r="E21" s="51"/>
      <c r="F21" s="75"/>
      <c r="G21" s="75"/>
      <c r="H21" s="75"/>
      <c r="I21" s="75"/>
      <c r="J21" s="75"/>
      <c r="K21" s="76"/>
      <c r="L21" s="76"/>
      <c r="M21" s="76"/>
      <c r="N21" s="76"/>
      <c r="O21" s="76"/>
      <c r="P21" s="76"/>
      <c r="Q21" s="76"/>
      <c r="R21" s="76"/>
    </row>
    <row r="22" spans="1:18" ht="18.75" customHeight="1">
      <c r="A22" s="125"/>
      <c r="B22" s="46" t="s">
        <v>75</v>
      </c>
      <c r="C22" s="52"/>
      <c r="D22" s="52"/>
      <c r="E22" s="52"/>
      <c r="F22" s="79"/>
      <c r="G22" s="75"/>
      <c r="H22" s="75"/>
      <c r="I22" s="75"/>
      <c r="J22" s="75"/>
      <c r="K22" s="76"/>
      <c r="L22" s="76"/>
      <c r="M22" s="76"/>
      <c r="N22" s="76"/>
      <c r="O22" s="76"/>
      <c r="P22" s="76"/>
      <c r="Q22" s="76"/>
      <c r="R22" s="76"/>
    </row>
    <row r="23" spans="1:18" ht="18.75" customHeight="1">
      <c r="A23" s="125"/>
      <c r="B23" s="46" t="s">
        <v>76</v>
      </c>
      <c r="C23" s="52"/>
      <c r="D23" s="52"/>
      <c r="E23" s="52"/>
      <c r="F23" s="51"/>
      <c r="G23" s="80"/>
      <c r="H23" s="80"/>
      <c r="I23" s="80"/>
      <c r="J23" s="80"/>
      <c r="K23" s="81"/>
      <c r="L23" s="81"/>
      <c r="M23" s="81"/>
      <c r="N23" s="81"/>
      <c r="O23" s="81"/>
      <c r="P23" s="81"/>
      <c r="Q23" s="81"/>
      <c r="R23" s="81"/>
    </row>
    <row r="24" spans="1:18" ht="18.75" customHeight="1">
      <c r="A24" s="125"/>
      <c r="B24" s="46" t="s">
        <v>77</v>
      </c>
      <c r="C24" s="52"/>
      <c r="D24" s="52"/>
      <c r="E24" s="52"/>
      <c r="F24" s="52"/>
      <c r="G24" s="82"/>
      <c r="H24" s="80"/>
      <c r="I24" s="80"/>
      <c r="J24" s="80"/>
      <c r="K24" s="81"/>
      <c r="L24" s="81"/>
      <c r="M24" s="81"/>
      <c r="N24" s="81"/>
      <c r="O24" s="81"/>
      <c r="P24" s="81"/>
      <c r="Q24" s="81"/>
      <c r="R24" s="81"/>
    </row>
    <row r="25" spans="1:18" ht="18.75" customHeight="1">
      <c r="A25" s="125"/>
      <c r="B25" s="46" t="s">
        <v>78</v>
      </c>
      <c r="C25" s="52"/>
      <c r="D25" s="52"/>
      <c r="E25" s="52"/>
      <c r="F25" s="52"/>
      <c r="G25" s="51"/>
      <c r="H25" s="80"/>
      <c r="I25" s="80"/>
      <c r="J25" s="80"/>
      <c r="K25" s="81"/>
      <c r="L25" s="81"/>
      <c r="M25" s="81"/>
      <c r="N25" s="81"/>
      <c r="O25" s="81"/>
      <c r="P25" s="81"/>
      <c r="Q25" s="81"/>
      <c r="R25" s="81"/>
    </row>
    <row r="26" spans="1:18" ht="18.75" customHeight="1">
      <c r="A26" s="125"/>
      <c r="B26" s="46" t="s">
        <v>79</v>
      </c>
      <c r="C26" s="52"/>
      <c r="D26" s="52"/>
      <c r="E26" s="52"/>
      <c r="F26" s="52"/>
      <c r="G26" s="52"/>
      <c r="H26" s="82"/>
      <c r="I26" s="80"/>
      <c r="J26" s="80"/>
      <c r="K26" s="81"/>
      <c r="L26" s="81"/>
      <c r="M26" s="81"/>
      <c r="N26" s="81"/>
      <c r="O26" s="81"/>
      <c r="P26" s="81"/>
      <c r="Q26" s="81"/>
      <c r="R26" s="81"/>
    </row>
    <row r="27" spans="1:18" ht="18.75" customHeight="1">
      <c r="A27" s="125"/>
      <c r="B27" s="46" t="s">
        <v>80</v>
      </c>
      <c r="C27" s="52"/>
      <c r="D27" s="52"/>
      <c r="E27" s="52"/>
      <c r="F27" s="52"/>
      <c r="G27" s="52"/>
      <c r="H27" s="51"/>
      <c r="I27" s="80"/>
      <c r="J27" s="80"/>
      <c r="K27" s="81"/>
      <c r="L27" s="81"/>
      <c r="M27" s="81"/>
      <c r="N27" s="81"/>
      <c r="O27" s="81"/>
      <c r="P27" s="81"/>
      <c r="Q27" s="81"/>
      <c r="R27" s="81"/>
    </row>
    <row r="28" spans="1:18" ht="18.75" customHeight="1">
      <c r="A28" s="125"/>
      <c r="B28" s="57" t="s">
        <v>81</v>
      </c>
      <c r="C28" s="58"/>
      <c r="D28" s="58"/>
      <c r="E28" s="58"/>
      <c r="F28" s="58"/>
      <c r="G28" s="58"/>
      <c r="H28" s="58"/>
      <c r="I28" s="83"/>
      <c r="J28" s="83"/>
      <c r="K28" s="84"/>
      <c r="L28" s="84"/>
      <c r="M28" s="84"/>
      <c r="N28" s="84"/>
      <c r="O28" s="84"/>
      <c r="P28" s="84"/>
      <c r="Q28" s="84"/>
      <c r="R28" s="84"/>
    </row>
    <row r="29" spans="1:18" ht="26.25" customHeight="1">
      <c r="A29" s="126" t="s">
        <v>82</v>
      </c>
      <c r="B29" s="127"/>
      <c r="C29" s="61">
        <f t="shared" ref="C29:M29" si="1">COUNTA(C9:C28)</f>
        <v>0</v>
      </c>
      <c r="D29" s="61">
        <f t="shared" si="1"/>
        <v>0</v>
      </c>
      <c r="E29" s="61">
        <f t="shared" si="1"/>
        <v>0</v>
      </c>
      <c r="F29" s="61">
        <f t="shared" si="1"/>
        <v>0</v>
      </c>
      <c r="G29" s="61">
        <f t="shared" si="1"/>
        <v>0</v>
      </c>
      <c r="H29" s="61">
        <f t="shared" si="1"/>
        <v>0</v>
      </c>
      <c r="I29" s="61">
        <f t="shared" si="1"/>
        <v>0</v>
      </c>
      <c r="J29" s="61">
        <f t="shared" si="1"/>
        <v>0</v>
      </c>
      <c r="K29" s="62">
        <f t="shared" si="1"/>
        <v>2</v>
      </c>
      <c r="L29" s="62">
        <f t="shared" si="1"/>
        <v>3</v>
      </c>
      <c r="M29" s="62">
        <f t="shared" si="1"/>
        <v>3</v>
      </c>
      <c r="N29" s="85">
        <v>5.5</v>
      </c>
      <c r="O29" s="62">
        <f>COUNTA(O9:O28)</f>
        <v>5</v>
      </c>
      <c r="P29" s="62">
        <f>COUNTA(P9:P28)</f>
        <v>5</v>
      </c>
      <c r="Q29" s="62">
        <f>COUNTA(Q9:Q28)</f>
        <v>0</v>
      </c>
      <c r="R29" s="62">
        <f>COUNTA(R9:R28)</f>
        <v>0</v>
      </c>
    </row>
    <row r="30" spans="1:18" ht="26.25" customHeight="1">
      <c r="A30" s="128" t="s">
        <v>83</v>
      </c>
      <c r="B30" s="129"/>
      <c r="C30" s="63">
        <f t="shared" ref="C30:M30" si="2">C8-C29</f>
        <v>10</v>
      </c>
      <c r="D30" s="63">
        <f t="shared" si="2"/>
        <v>11</v>
      </c>
      <c r="E30" s="63">
        <f t="shared" si="2"/>
        <v>12</v>
      </c>
      <c r="F30" s="63">
        <f t="shared" si="2"/>
        <v>14</v>
      </c>
      <c r="G30" s="63">
        <f t="shared" si="2"/>
        <v>16</v>
      </c>
      <c r="H30" s="63">
        <f t="shared" si="2"/>
        <v>18</v>
      </c>
      <c r="I30" s="63">
        <f t="shared" si="2"/>
        <v>20</v>
      </c>
      <c r="J30" s="63">
        <f t="shared" si="2"/>
        <v>20</v>
      </c>
      <c r="K30" s="64">
        <f t="shared" si="2"/>
        <v>18</v>
      </c>
      <c r="L30" s="64">
        <f t="shared" si="2"/>
        <v>17</v>
      </c>
      <c r="M30" s="64">
        <f t="shared" si="2"/>
        <v>17</v>
      </c>
      <c r="N30" s="86">
        <f>N8-N29</f>
        <v>14.5</v>
      </c>
      <c r="O30" s="64">
        <f>N8+O8-O29</f>
        <v>35</v>
      </c>
      <c r="P30" s="64">
        <f>O8+P8-P29</f>
        <v>35</v>
      </c>
      <c r="Q30" s="64">
        <f>Q8-Q29</f>
        <v>20</v>
      </c>
      <c r="R30" s="64">
        <f>R8-R29</f>
        <v>20</v>
      </c>
    </row>
    <row r="31" spans="1:18" s="65" customFormat="1" ht="18" customHeight="1">
      <c r="A31" s="130" t="s">
        <v>48</v>
      </c>
      <c r="B31" s="131"/>
      <c r="C31" s="66">
        <f t="shared" ref="C31:R31" si="3">C5</f>
        <v>40864</v>
      </c>
      <c r="D31" s="66">
        <f t="shared" si="3"/>
        <v>41230</v>
      </c>
      <c r="E31" s="66">
        <f t="shared" si="3"/>
        <v>41595</v>
      </c>
      <c r="F31" s="66">
        <f t="shared" si="3"/>
        <v>41960</v>
      </c>
      <c r="G31" s="66">
        <f t="shared" si="3"/>
        <v>42325</v>
      </c>
      <c r="H31" s="66">
        <f t="shared" si="3"/>
        <v>42691</v>
      </c>
      <c r="I31" s="66">
        <f t="shared" si="3"/>
        <v>43056</v>
      </c>
      <c r="J31" s="66">
        <f t="shared" si="3"/>
        <v>43421</v>
      </c>
      <c r="K31" s="66">
        <f t="shared" si="3"/>
        <v>43786</v>
      </c>
      <c r="L31" s="66">
        <f t="shared" si="3"/>
        <v>44152</v>
      </c>
      <c r="M31" s="66">
        <f t="shared" si="3"/>
        <v>44517</v>
      </c>
      <c r="N31" s="66">
        <f t="shared" si="3"/>
        <v>44882</v>
      </c>
      <c r="O31" s="66">
        <f t="shared" si="3"/>
        <v>45247</v>
      </c>
      <c r="P31" s="66">
        <f t="shared" si="3"/>
        <v>45613</v>
      </c>
      <c r="Q31" s="66">
        <f t="shared" si="3"/>
        <v>45978</v>
      </c>
      <c r="R31" s="66">
        <f t="shared" si="3"/>
        <v>46343</v>
      </c>
    </row>
    <row r="32" spans="1:18" s="65" customFormat="1" ht="18" customHeight="1">
      <c r="A32" s="118" t="s">
        <v>49</v>
      </c>
      <c r="B32" s="119"/>
      <c r="C32" s="66">
        <f t="shared" ref="C32:R32" si="4">C6</f>
        <v>41594</v>
      </c>
      <c r="D32" s="66">
        <f t="shared" si="4"/>
        <v>41959</v>
      </c>
      <c r="E32" s="66">
        <f t="shared" si="4"/>
        <v>42324</v>
      </c>
      <c r="F32" s="66">
        <f t="shared" si="4"/>
        <v>42690</v>
      </c>
      <c r="G32" s="66">
        <f t="shared" si="4"/>
        <v>43055</v>
      </c>
      <c r="H32" s="66">
        <f t="shared" si="4"/>
        <v>43420</v>
      </c>
      <c r="I32" s="66">
        <f t="shared" si="4"/>
        <v>43785</v>
      </c>
      <c r="J32" s="66">
        <f t="shared" si="4"/>
        <v>44151</v>
      </c>
      <c r="K32" s="66">
        <f t="shared" si="4"/>
        <v>44516</v>
      </c>
      <c r="L32" s="66">
        <f t="shared" si="4"/>
        <v>44881</v>
      </c>
      <c r="M32" s="66">
        <f t="shared" si="4"/>
        <v>45246</v>
      </c>
      <c r="N32" s="66">
        <f t="shared" si="4"/>
        <v>45612</v>
      </c>
      <c r="O32" s="66">
        <f t="shared" si="4"/>
        <v>45977</v>
      </c>
      <c r="P32" s="66">
        <f t="shared" si="4"/>
        <v>46342</v>
      </c>
      <c r="Q32" s="66">
        <f t="shared" si="4"/>
        <v>46707</v>
      </c>
      <c r="R32" s="66">
        <f t="shared" si="4"/>
        <v>47073</v>
      </c>
    </row>
    <row r="33" spans="1:11" ht="27" customHeight="1">
      <c r="A33" s="120" t="s">
        <v>84</v>
      </c>
      <c r="B33" s="121"/>
      <c r="C33" s="121"/>
      <c r="D33" s="121"/>
      <c r="E33" s="121"/>
      <c r="F33" s="121"/>
      <c r="G33" s="121"/>
      <c r="H33" s="121"/>
      <c r="I33" s="121"/>
      <c r="J33" s="121"/>
      <c r="K33" s="121"/>
    </row>
  </sheetData>
  <mergeCells count="12">
    <mergeCell ref="B2:C2"/>
    <mergeCell ref="B3:C3"/>
    <mergeCell ref="A5:B5"/>
    <mergeCell ref="A6:B6"/>
    <mergeCell ref="A7:B7"/>
    <mergeCell ref="A32:B32"/>
    <mergeCell ref="A33:K33"/>
    <mergeCell ref="A8:B8"/>
    <mergeCell ref="A9:A28"/>
    <mergeCell ref="A29:B29"/>
    <mergeCell ref="A30:B30"/>
    <mergeCell ref="A31:B31"/>
  </mergeCells>
  <phoneticPr fontId="31"/>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3"/>
  <sheetViews>
    <sheetView zoomScale="80" zoomScaleNormal="80" workbookViewId="0">
      <selection activeCell="N16" sqref="N16"/>
    </sheetView>
  </sheetViews>
  <sheetFormatPr defaultColWidth="8.125" defaultRowHeight="13.5" customHeight="1"/>
  <cols>
    <col min="1" max="1" width="18.875" style="29" customWidth="1"/>
    <col min="2" max="2" width="6.25" style="30" customWidth="1"/>
    <col min="3" max="11" width="11.25" style="29" customWidth="1"/>
    <col min="12" max="12" width="8.125" style="29" customWidth="1"/>
    <col min="13" max="16384" width="8.125" style="29"/>
  </cols>
  <sheetData>
    <row r="1" spans="1:11" ht="40.5" customHeight="1">
      <c r="A1" s="31" t="s">
        <v>45</v>
      </c>
    </row>
    <row r="2" spans="1:11" ht="19.5" customHeight="1">
      <c r="A2" s="32" t="s">
        <v>46</v>
      </c>
      <c r="B2" s="154" t="s">
        <v>15</v>
      </c>
      <c r="C2" s="133"/>
    </row>
    <row r="3" spans="1:11" ht="21" customHeight="1">
      <c r="A3" s="32" t="s">
        <v>4</v>
      </c>
      <c r="B3" s="134">
        <v>43837</v>
      </c>
      <c r="C3" s="133"/>
    </row>
    <row r="4" spans="1:11" ht="13.9" customHeight="1">
      <c r="A4" s="33"/>
      <c r="B4" s="34"/>
    </row>
    <row r="5" spans="1:11" ht="18.75" customHeight="1">
      <c r="A5" s="135" t="s">
        <v>48</v>
      </c>
      <c r="B5" s="131"/>
      <c r="C5" s="35">
        <f>DATE(YEAR($B$3),MONTH($B$3)+6,DAY($B$3))</f>
        <v>44019</v>
      </c>
      <c r="D5" s="35">
        <f t="shared" ref="D5:K5" si="0">DATE(YEAR(C5)+1,MONTH(C5),DAY(C5))</f>
        <v>44384</v>
      </c>
      <c r="E5" s="35">
        <f t="shared" si="0"/>
        <v>44749</v>
      </c>
      <c r="F5" s="35">
        <f t="shared" si="0"/>
        <v>45114</v>
      </c>
      <c r="G5" s="35">
        <f t="shared" si="0"/>
        <v>45480</v>
      </c>
      <c r="H5" s="35">
        <f t="shared" si="0"/>
        <v>45845</v>
      </c>
      <c r="I5" s="35">
        <f t="shared" si="0"/>
        <v>46210</v>
      </c>
      <c r="J5" s="35">
        <f t="shared" si="0"/>
        <v>46575</v>
      </c>
      <c r="K5" s="35">
        <f t="shared" si="0"/>
        <v>46941</v>
      </c>
    </row>
    <row r="6" spans="1:11" ht="18.75" customHeight="1">
      <c r="A6" s="136" t="s">
        <v>49</v>
      </c>
      <c r="B6" s="119"/>
      <c r="C6" s="36">
        <f>DATE(YEAR($C$5)+2,MONTH($C$5),DAY($C$5)-1)</f>
        <v>44748</v>
      </c>
      <c r="D6" s="36">
        <f>DATE(YEAR($D$5)+2,MONTH($D$5),DAY($D$5)-1)</f>
        <v>45113</v>
      </c>
      <c r="E6" s="36">
        <f>DATE(YEAR($E$5)+2,MONTH($E$5),DAY($E$5)-1)</f>
        <v>45479</v>
      </c>
      <c r="F6" s="36">
        <f>DATE(YEAR($F$5)+2,MONTH($F$5),DAY($F$5)-1)</f>
        <v>45844</v>
      </c>
      <c r="G6" s="36">
        <f>DATE(YEAR($G$5)+2,MONTH($G$5),DAY($G$5)-1)</f>
        <v>46209</v>
      </c>
      <c r="H6" s="36">
        <f>DATE(YEAR($H$5)+2,MONTH($H$5),DAY($H$5)-1)</f>
        <v>46574</v>
      </c>
      <c r="I6" s="36">
        <f>DATE(YEAR($I$5)+2,MONTH($I$5),DAY($I$5)-1)</f>
        <v>46940</v>
      </c>
      <c r="J6" s="36">
        <f>DATE(YEAR($J$5)+2,MONTH($J$5),DAY($J$5)-1)</f>
        <v>47305</v>
      </c>
      <c r="K6" s="37">
        <f>DATE(YEAR($K$5)+2,MONTH($K$5),DAY($K$5)-1)</f>
        <v>47670</v>
      </c>
    </row>
    <row r="7" spans="1:11" ht="18.75" customHeight="1">
      <c r="A7" s="136" t="s">
        <v>50</v>
      </c>
      <c r="B7" s="119"/>
      <c r="C7" s="38" t="s">
        <v>51</v>
      </c>
      <c r="D7" s="38" t="s">
        <v>52</v>
      </c>
      <c r="E7" s="38" t="s">
        <v>53</v>
      </c>
      <c r="F7" s="38" t="s">
        <v>54</v>
      </c>
      <c r="G7" s="38" t="s">
        <v>55</v>
      </c>
      <c r="H7" s="38" t="s">
        <v>56</v>
      </c>
      <c r="I7" s="38" t="s">
        <v>57</v>
      </c>
      <c r="J7" s="38" t="s">
        <v>58</v>
      </c>
      <c r="K7" s="39" t="s">
        <v>59</v>
      </c>
    </row>
    <row r="8" spans="1:11" ht="18.75" customHeight="1">
      <c r="A8" s="122" t="s">
        <v>60</v>
      </c>
      <c r="B8" s="123"/>
      <c r="C8" s="40">
        <v>10</v>
      </c>
      <c r="D8" s="40">
        <v>11</v>
      </c>
      <c r="E8" s="40">
        <v>12</v>
      </c>
      <c r="F8" s="40">
        <v>14</v>
      </c>
      <c r="G8" s="40">
        <v>16</v>
      </c>
      <c r="H8" s="40">
        <v>18</v>
      </c>
      <c r="I8" s="40">
        <v>20</v>
      </c>
      <c r="J8" s="40">
        <v>20</v>
      </c>
      <c r="K8" s="41">
        <v>20</v>
      </c>
    </row>
    <row r="9" spans="1:11" ht="18.75" customHeight="1">
      <c r="A9" s="124" t="s">
        <v>61</v>
      </c>
      <c r="B9" s="42" t="s">
        <v>62</v>
      </c>
      <c r="C9" s="70">
        <v>44035</v>
      </c>
      <c r="D9" s="70">
        <v>45057</v>
      </c>
      <c r="E9" s="70">
        <v>45406</v>
      </c>
      <c r="F9" s="71">
        <v>45533</v>
      </c>
      <c r="G9" s="71">
        <v>45896</v>
      </c>
      <c r="H9" s="71"/>
      <c r="I9" s="71"/>
      <c r="J9" s="71"/>
      <c r="K9" s="72"/>
    </row>
    <row r="10" spans="1:11" ht="18.75" customHeight="1">
      <c r="A10" s="125"/>
      <c r="B10" s="46" t="s">
        <v>63</v>
      </c>
      <c r="C10" s="74">
        <v>44491</v>
      </c>
      <c r="D10" s="74">
        <v>45058</v>
      </c>
      <c r="E10" s="74">
        <v>45407</v>
      </c>
      <c r="F10" s="75">
        <v>45534</v>
      </c>
      <c r="G10" s="75">
        <v>45897</v>
      </c>
      <c r="H10" s="75"/>
      <c r="I10" s="75"/>
      <c r="J10" s="75"/>
      <c r="K10" s="76"/>
    </row>
    <row r="11" spans="1:11" ht="18.75" customHeight="1">
      <c r="A11" s="125"/>
      <c r="B11" s="46" t="s">
        <v>64</v>
      </c>
      <c r="C11" s="74">
        <v>44492</v>
      </c>
      <c r="D11" s="74">
        <v>45059</v>
      </c>
      <c r="E11" s="74">
        <v>45408</v>
      </c>
      <c r="F11" s="75">
        <v>45770</v>
      </c>
      <c r="G11" s="87">
        <v>46135</v>
      </c>
      <c r="H11" s="75"/>
      <c r="I11" s="75"/>
      <c r="J11" s="75"/>
      <c r="K11" s="76"/>
    </row>
    <row r="12" spans="1:11" ht="18.75" customHeight="1">
      <c r="A12" s="125"/>
      <c r="B12" s="46" t="s">
        <v>65</v>
      </c>
      <c r="C12" s="74">
        <v>44672</v>
      </c>
      <c r="D12" s="74"/>
      <c r="E12" s="88"/>
      <c r="F12" s="75">
        <v>45771</v>
      </c>
      <c r="G12" s="87">
        <v>46136</v>
      </c>
      <c r="H12" s="75"/>
      <c r="I12" s="75"/>
      <c r="J12" s="75"/>
      <c r="K12" s="76"/>
    </row>
    <row r="13" spans="1:11" ht="18.75" customHeight="1">
      <c r="A13" s="125"/>
      <c r="B13" s="46" t="s">
        <v>66</v>
      </c>
      <c r="C13" s="74">
        <v>44673</v>
      </c>
      <c r="D13" s="74"/>
      <c r="E13" s="74"/>
      <c r="F13" s="75">
        <v>45772</v>
      </c>
      <c r="G13" s="87">
        <v>46142</v>
      </c>
      <c r="H13" s="75"/>
      <c r="I13" s="75"/>
      <c r="J13" s="75"/>
      <c r="K13" s="76"/>
    </row>
    <row r="14" spans="1:11" ht="18.75" customHeight="1">
      <c r="A14" s="125"/>
      <c r="B14" s="46" t="s">
        <v>67</v>
      </c>
      <c r="C14" s="74">
        <v>44674</v>
      </c>
      <c r="D14" s="74"/>
      <c r="E14" s="74"/>
      <c r="F14" s="75">
        <v>45817</v>
      </c>
      <c r="G14" s="75">
        <v>46146</v>
      </c>
      <c r="H14" s="75"/>
      <c r="I14" s="75"/>
      <c r="J14" s="75"/>
      <c r="K14" s="76"/>
    </row>
    <row r="15" spans="1:11" ht="18.75" customHeight="1">
      <c r="A15" s="125"/>
      <c r="B15" s="46" t="s">
        <v>68</v>
      </c>
      <c r="C15" s="74"/>
      <c r="D15" s="74"/>
      <c r="E15" s="74"/>
      <c r="F15" s="75">
        <v>45818</v>
      </c>
      <c r="G15" s="75">
        <v>46147</v>
      </c>
      <c r="H15" s="75"/>
      <c r="I15" s="75"/>
      <c r="J15" s="75"/>
      <c r="K15" s="76"/>
    </row>
    <row r="16" spans="1:11" ht="18.75" customHeight="1">
      <c r="A16" s="125"/>
      <c r="B16" s="46" t="s">
        <v>69</v>
      </c>
      <c r="C16" s="74"/>
      <c r="D16" s="74"/>
      <c r="E16" s="74"/>
      <c r="F16" s="75">
        <v>45819</v>
      </c>
      <c r="G16" s="75">
        <v>46148</v>
      </c>
      <c r="H16" s="75"/>
      <c r="I16" s="75"/>
      <c r="J16" s="75"/>
      <c r="K16" s="76"/>
    </row>
    <row r="17" spans="1:11" ht="18.75" customHeight="1">
      <c r="A17" s="125"/>
      <c r="B17" s="46" t="s">
        <v>70</v>
      </c>
      <c r="C17" s="74"/>
      <c r="D17" s="74"/>
      <c r="E17" s="74"/>
      <c r="F17" s="75"/>
      <c r="G17" s="75"/>
      <c r="H17" s="75"/>
      <c r="I17" s="75"/>
      <c r="J17" s="75"/>
      <c r="K17" s="76"/>
    </row>
    <row r="18" spans="1:11" ht="18.75" customHeight="1">
      <c r="A18" s="125"/>
      <c r="B18" s="46" t="s">
        <v>71</v>
      </c>
      <c r="C18" s="78"/>
      <c r="D18" s="74"/>
      <c r="E18" s="75"/>
      <c r="F18" s="75"/>
      <c r="G18" s="75"/>
      <c r="H18" s="75"/>
      <c r="I18" s="75"/>
      <c r="J18" s="75"/>
      <c r="K18" s="76"/>
    </row>
    <row r="19" spans="1:11" ht="18.75" customHeight="1">
      <c r="A19" s="125"/>
      <c r="B19" s="46" t="s">
        <v>72</v>
      </c>
      <c r="C19" s="51"/>
      <c r="D19" s="78"/>
      <c r="E19" s="75"/>
      <c r="F19" s="75"/>
      <c r="G19" s="75"/>
      <c r="H19" s="75"/>
      <c r="I19" s="75"/>
      <c r="J19" s="75"/>
      <c r="K19" s="76"/>
    </row>
    <row r="20" spans="1:11" ht="18.75" customHeight="1">
      <c r="A20" s="125"/>
      <c r="B20" s="46" t="s">
        <v>73</v>
      </c>
      <c r="C20" s="52"/>
      <c r="D20" s="51"/>
      <c r="E20" s="79"/>
      <c r="F20" s="75"/>
      <c r="G20" s="75"/>
      <c r="H20" s="75"/>
      <c r="I20" s="75"/>
      <c r="J20" s="75"/>
      <c r="K20" s="76"/>
    </row>
    <row r="21" spans="1:11" ht="18.75" customHeight="1">
      <c r="A21" s="125"/>
      <c r="B21" s="46" t="s">
        <v>74</v>
      </c>
      <c r="C21" s="52"/>
      <c r="D21" s="52"/>
      <c r="E21" s="51"/>
      <c r="F21" s="75"/>
      <c r="G21" s="75"/>
      <c r="H21" s="75"/>
      <c r="I21" s="75"/>
      <c r="J21" s="75"/>
      <c r="K21" s="76"/>
    </row>
    <row r="22" spans="1:11" ht="18.75" customHeight="1">
      <c r="A22" s="125"/>
      <c r="B22" s="46" t="s">
        <v>75</v>
      </c>
      <c r="C22" s="52"/>
      <c r="D22" s="52"/>
      <c r="E22" s="52"/>
      <c r="F22" s="79"/>
      <c r="G22" s="75"/>
      <c r="H22" s="75"/>
      <c r="I22" s="75"/>
      <c r="J22" s="75"/>
      <c r="K22" s="76"/>
    </row>
    <row r="23" spans="1:11" ht="18.75" customHeight="1">
      <c r="A23" s="125"/>
      <c r="B23" s="46" t="s">
        <v>76</v>
      </c>
      <c r="C23" s="52"/>
      <c r="D23" s="52"/>
      <c r="E23" s="52"/>
      <c r="F23" s="51"/>
      <c r="G23" s="80"/>
      <c r="H23" s="80"/>
      <c r="I23" s="80"/>
      <c r="J23" s="80"/>
      <c r="K23" s="81"/>
    </row>
    <row r="24" spans="1:11" ht="18.75" customHeight="1">
      <c r="A24" s="125"/>
      <c r="B24" s="46" t="s">
        <v>77</v>
      </c>
      <c r="C24" s="52"/>
      <c r="D24" s="52"/>
      <c r="E24" s="52"/>
      <c r="F24" s="52"/>
      <c r="G24" s="82"/>
      <c r="H24" s="80"/>
      <c r="I24" s="80"/>
      <c r="J24" s="80"/>
      <c r="K24" s="81"/>
    </row>
    <row r="25" spans="1:11" ht="18.75" customHeight="1">
      <c r="A25" s="125"/>
      <c r="B25" s="46" t="s">
        <v>78</v>
      </c>
      <c r="C25" s="52"/>
      <c r="D25" s="52"/>
      <c r="E25" s="52"/>
      <c r="F25" s="52"/>
      <c r="G25" s="51"/>
      <c r="H25" s="80"/>
      <c r="I25" s="80"/>
      <c r="J25" s="80"/>
      <c r="K25" s="81"/>
    </row>
    <row r="26" spans="1:11" ht="18.75" customHeight="1">
      <c r="A26" s="125"/>
      <c r="B26" s="46" t="s">
        <v>79</v>
      </c>
      <c r="C26" s="52"/>
      <c r="D26" s="52"/>
      <c r="E26" s="52"/>
      <c r="F26" s="52"/>
      <c r="G26" s="52"/>
      <c r="H26" s="82"/>
      <c r="I26" s="80"/>
      <c r="J26" s="80"/>
      <c r="K26" s="81"/>
    </row>
    <row r="27" spans="1:11" ht="18.75" customHeight="1">
      <c r="A27" s="125"/>
      <c r="B27" s="46" t="s">
        <v>80</v>
      </c>
      <c r="C27" s="52"/>
      <c r="D27" s="52"/>
      <c r="E27" s="52"/>
      <c r="F27" s="52"/>
      <c r="G27" s="52"/>
      <c r="H27" s="51"/>
      <c r="I27" s="80"/>
      <c r="J27" s="80"/>
      <c r="K27" s="81"/>
    </row>
    <row r="28" spans="1:11" ht="18.75" customHeight="1">
      <c r="A28" s="125"/>
      <c r="B28" s="57" t="s">
        <v>81</v>
      </c>
      <c r="C28" s="58"/>
      <c r="D28" s="58"/>
      <c r="E28" s="58"/>
      <c r="F28" s="58"/>
      <c r="G28" s="58"/>
      <c r="H28" s="58"/>
      <c r="I28" s="83"/>
      <c r="J28" s="83"/>
      <c r="K28" s="84"/>
    </row>
    <row r="29" spans="1:11" ht="26.25" customHeight="1">
      <c r="A29" s="126" t="s">
        <v>82</v>
      </c>
      <c r="B29" s="127"/>
      <c r="C29" s="61">
        <f t="shared" ref="C29:K29" si="1">COUNTA(C9:C28)</f>
        <v>6</v>
      </c>
      <c r="D29" s="61">
        <f t="shared" si="1"/>
        <v>3</v>
      </c>
      <c r="E29" s="61">
        <f t="shared" si="1"/>
        <v>3</v>
      </c>
      <c r="F29" s="61">
        <f t="shared" si="1"/>
        <v>8</v>
      </c>
      <c r="G29" s="61">
        <f t="shared" si="1"/>
        <v>8</v>
      </c>
      <c r="H29" s="61">
        <f t="shared" si="1"/>
        <v>0</v>
      </c>
      <c r="I29" s="61">
        <f t="shared" si="1"/>
        <v>0</v>
      </c>
      <c r="J29" s="61">
        <f t="shared" si="1"/>
        <v>0</v>
      </c>
      <c r="K29" s="62">
        <f t="shared" si="1"/>
        <v>0</v>
      </c>
    </row>
    <row r="30" spans="1:11" ht="26.25" customHeight="1">
      <c r="A30" s="128" t="s">
        <v>83</v>
      </c>
      <c r="B30" s="129"/>
      <c r="C30" s="63">
        <f>C8-C29</f>
        <v>4</v>
      </c>
      <c r="D30" s="63">
        <f>C30+D8-D29</f>
        <v>12</v>
      </c>
      <c r="E30" s="63">
        <f>D8+E8-E29</f>
        <v>20</v>
      </c>
      <c r="F30" s="63">
        <f>E8+F8-F29</f>
        <v>18</v>
      </c>
      <c r="G30" s="63">
        <f>F8+G8-G29</f>
        <v>22</v>
      </c>
      <c r="H30" s="63">
        <f>G8+H8-H29</f>
        <v>34</v>
      </c>
      <c r="I30" s="63">
        <f>I8-I29</f>
        <v>20</v>
      </c>
      <c r="J30" s="63">
        <f>J8-J29</f>
        <v>20</v>
      </c>
      <c r="K30" s="64">
        <f>K8-K29</f>
        <v>20</v>
      </c>
    </row>
    <row r="31" spans="1:11" s="65" customFormat="1" ht="18" customHeight="1">
      <c r="A31" s="130" t="s">
        <v>48</v>
      </c>
      <c r="B31" s="131"/>
      <c r="C31" s="66">
        <f t="shared" ref="C31:K31" si="2">C5</f>
        <v>44019</v>
      </c>
      <c r="D31" s="66">
        <f t="shared" si="2"/>
        <v>44384</v>
      </c>
      <c r="E31" s="66">
        <f t="shared" si="2"/>
        <v>44749</v>
      </c>
      <c r="F31" s="66">
        <f t="shared" si="2"/>
        <v>45114</v>
      </c>
      <c r="G31" s="66">
        <f t="shared" si="2"/>
        <v>45480</v>
      </c>
      <c r="H31" s="66">
        <f t="shared" si="2"/>
        <v>45845</v>
      </c>
      <c r="I31" s="66">
        <f t="shared" si="2"/>
        <v>46210</v>
      </c>
      <c r="J31" s="66">
        <f t="shared" si="2"/>
        <v>46575</v>
      </c>
      <c r="K31" s="66">
        <f t="shared" si="2"/>
        <v>46941</v>
      </c>
    </row>
    <row r="32" spans="1:11" s="65" customFormat="1" ht="18" customHeight="1">
      <c r="A32" s="118" t="s">
        <v>49</v>
      </c>
      <c r="B32" s="119"/>
      <c r="C32" s="66">
        <f t="shared" ref="C32:K32" si="3">C6</f>
        <v>44748</v>
      </c>
      <c r="D32" s="66">
        <f t="shared" si="3"/>
        <v>45113</v>
      </c>
      <c r="E32" s="66">
        <f t="shared" si="3"/>
        <v>45479</v>
      </c>
      <c r="F32" s="66">
        <f t="shared" si="3"/>
        <v>45844</v>
      </c>
      <c r="G32" s="66">
        <f t="shared" si="3"/>
        <v>46209</v>
      </c>
      <c r="H32" s="66">
        <f t="shared" si="3"/>
        <v>46574</v>
      </c>
      <c r="I32" s="66">
        <f t="shared" si="3"/>
        <v>46940</v>
      </c>
      <c r="J32" s="66">
        <f t="shared" si="3"/>
        <v>47305</v>
      </c>
      <c r="K32" s="66">
        <f t="shared" si="3"/>
        <v>47670</v>
      </c>
    </row>
    <row r="33" spans="1:11" ht="27" customHeight="1">
      <c r="A33" s="120" t="s">
        <v>84</v>
      </c>
      <c r="B33" s="121"/>
      <c r="C33" s="121"/>
      <c r="D33" s="121"/>
      <c r="E33" s="121"/>
      <c r="F33" s="121"/>
      <c r="G33" s="121"/>
      <c r="H33" s="121"/>
      <c r="I33" s="121"/>
      <c r="J33" s="121"/>
      <c r="K33" s="121"/>
    </row>
  </sheetData>
  <mergeCells count="12">
    <mergeCell ref="B2:C2"/>
    <mergeCell ref="B3:C3"/>
    <mergeCell ref="A5:B5"/>
    <mergeCell ref="A6:B6"/>
    <mergeCell ref="A7:B7"/>
    <mergeCell ref="A32:B32"/>
    <mergeCell ref="A33:K33"/>
    <mergeCell ref="A8:B8"/>
    <mergeCell ref="A9:A28"/>
    <mergeCell ref="A29:B29"/>
    <mergeCell ref="A30:B30"/>
    <mergeCell ref="A31:B31"/>
  </mergeCells>
  <phoneticPr fontId="31"/>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3"/>
  <sheetViews>
    <sheetView zoomScale="80" zoomScaleNormal="80" workbookViewId="0">
      <selection activeCell="K28" sqref="K28"/>
    </sheetView>
  </sheetViews>
  <sheetFormatPr defaultColWidth="8.125" defaultRowHeight="13.5" customHeight="1"/>
  <cols>
    <col min="1" max="1" width="18.875" style="29" customWidth="1"/>
    <col min="2" max="2" width="6.25" style="30" customWidth="1"/>
    <col min="3" max="11" width="11.25" style="29" customWidth="1"/>
    <col min="12" max="12" width="8.125" style="29" customWidth="1"/>
    <col min="13" max="16384" width="8.125" style="29"/>
  </cols>
  <sheetData>
    <row r="1" spans="1:11" ht="40.5" customHeight="1">
      <c r="A1" s="31" t="s">
        <v>45</v>
      </c>
    </row>
    <row r="2" spans="1:11" ht="19.5" customHeight="1">
      <c r="A2" s="32" t="s">
        <v>46</v>
      </c>
      <c r="B2" s="154" t="s">
        <v>94</v>
      </c>
      <c r="C2" s="133"/>
    </row>
    <row r="3" spans="1:11" ht="21" customHeight="1">
      <c r="A3" s="32" t="s">
        <v>4</v>
      </c>
      <c r="B3" s="134">
        <v>44256</v>
      </c>
      <c r="C3" s="133"/>
    </row>
    <row r="4" spans="1:11" ht="13.9" customHeight="1">
      <c r="A4" s="33"/>
      <c r="B4" s="34"/>
    </row>
    <row r="5" spans="1:11" ht="18.75" customHeight="1">
      <c r="A5" s="135" t="s">
        <v>48</v>
      </c>
      <c r="B5" s="131"/>
      <c r="C5" s="35">
        <f>DATE(YEAR($B$3),MONTH($B$3)+6,DAY($B$3))</f>
        <v>44440</v>
      </c>
      <c r="D5" s="35">
        <f t="shared" ref="D5:K5" si="0">DATE(YEAR(C5)+1,MONTH(C5),DAY(C5))</f>
        <v>44805</v>
      </c>
      <c r="E5" s="35">
        <f t="shared" si="0"/>
        <v>45170</v>
      </c>
      <c r="F5" s="35">
        <f t="shared" si="0"/>
        <v>45536</v>
      </c>
      <c r="G5" s="35">
        <f t="shared" si="0"/>
        <v>45901</v>
      </c>
      <c r="H5" s="35">
        <f t="shared" si="0"/>
        <v>46266</v>
      </c>
      <c r="I5" s="35">
        <f t="shared" si="0"/>
        <v>46631</v>
      </c>
      <c r="J5" s="35">
        <f t="shared" si="0"/>
        <v>46997</v>
      </c>
      <c r="K5" s="35">
        <f t="shared" si="0"/>
        <v>47362</v>
      </c>
    </row>
    <row r="6" spans="1:11" ht="18.75" customHeight="1">
      <c r="A6" s="136" t="s">
        <v>49</v>
      </c>
      <c r="B6" s="119"/>
      <c r="C6" s="36">
        <f>DATE(YEAR($C$5)+2,MONTH($C$5),DAY($C$5)-1)</f>
        <v>45169</v>
      </c>
      <c r="D6" s="36">
        <f>DATE(YEAR($D$5)+2,MONTH($D$5),DAY($D$5)-1)</f>
        <v>45535</v>
      </c>
      <c r="E6" s="36">
        <f>DATE(YEAR($E$5)+2,MONTH($E$5),DAY($E$5)-1)</f>
        <v>45900</v>
      </c>
      <c r="F6" s="36">
        <f>DATE(YEAR($F$5)+2,MONTH($F$5),DAY($F$5)-1)</f>
        <v>46265</v>
      </c>
      <c r="G6" s="36">
        <f>DATE(YEAR($G$5)+2,MONTH($G$5),DAY($G$5)-1)</f>
        <v>46630</v>
      </c>
      <c r="H6" s="36">
        <f>DATE(YEAR($H$5)+2,MONTH($H$5),DAY($H$5)-1)</f>
        <v>46996</v>
      </c>
      <c r="I6" s="36">
        <f>DATE(YEAR($I$5)+2,MONTH($I$5),DAY($I$5)-1)</f>
        <v>47361</v>
      </c>
      <c r="J6" s="36">
        <f>DATE(YEAR($J$5)+2,MONTH($J$5),DAY($J$5)-1)</f>
        <v>47726</v>
      </c>
      <c r="K6" s="37">
        <f>DATE(YEAR($K$5)+2,MONTH($K$5),DAY($K$5)-1)</f>
        <v>48091</v>
      </c>
    </row>
    <row r="7" spans="1:11" ht="18.75" customHeight="1">
      <c r="A7" s="136" t="s">
        <v>50</v>
      </c>
      <c r="B7" s="119"/>
      <c r="C7" s="38" t="s">
        <v>51</v>
      </c>
      <c r="D7" s="38" t="s">
        <v>52</v>
      </c>
      <c r="E7" s="38" t="s">
        <v>53</v>
      </c>
      <c r="F7" s="38" t="s">
        <v>54</v>
      </c>
      <c r="G7" s="38" t="s">
        <v>55</v>
      </c>
      <c r="H7" s="38" t="s">
        <v>56</v>
      </c>
      <c r="I7" s="38" t="s">
        <v>57</v>
      </c>
      <c r="J7" s="38" t="s">
        <v>58</v>
      </c>
      <c r="K7" s="39" t="s">
        <v>59</v>
      </c>
    </row>
    <row r="8" spans="1:11" ht="18.75" customHeight="1">
      <c r="A8" s="122" t="s">
        <v>60</v>
      </c>
      <c r="B8" s="123"/>
      <c r="C8" s="40">
        <v>10</v>
      </c>
      <c r="D8" s="40">
        <v>11</v>
      </c>
      <c r="E8" s="40">
        <v>12</v>
      </c>
      <c r="F8" s="40">
        <v>14</v>
      </c>
      <c r="G8" s="40">
        <v>16</v>
      </c>
      <c r="H8" s="40">
        <v>18</v>
      </c>
      <c r="I8" s="40">
        <v>20</v>
      </c>
      <c r="J8" s="40">
        <v>20</v>
      </c>
      <c r="K8" s="41">
        <v>20</v>
      </c>
    </row>
    <row r="9" spans="1:11" ht="18.75" customHeight="1">
      <c r="A9" s="124" t="s">
        <v>61</v>
      </c>
      <c r="B9" s="42" t="s">
        <v>62</v>
      </c>
      <c r="C9" s="70"/>
      <c r="D9" s="70">
        <v>45533</v>
      </c>
      <c r="E9" s="70">
        <v>45873</v>
      </c>
      <c r="F9" s="71"/>
      <c r="G9" s="71"/>
      <c r="H9" s="71"/>
      <c r="I9" s="71"/>
      <c r="J9" s="71"/>
      <c r="K9" s="72"/>
    </row>
    <row r="10" spans="1:11" ht="18.75" customHeight="1">
      <c r="A10" s="125"/>
      <c r="B10" s="46" t="s">
        <v>63</v>
      </c>
      <c r="C10" s="74"/>
      <c r="D10" s="74">
        <v>45534</v>
      </c>
      <c r="E10" s="74">
        <v>45876</v>
      </c>
      <c r="F10" s="75"/>
      <c r="G10" s="75"/>
      <c r="H10" s="75"/>
      <c r="I10" s="75"/>
      <c r="J10" s="75"/>
      <c r="K10" s="76"/>
    </row>
    <row r="11" spans="1:11" ht="18.75" customHeight="1">
      <c r="A11" s="125"/>
      <c r="B11" s="46" t="s">
        <v>64</v>
      </c>
      <c r="C11" s="74"/>
      <c r="D11" s="74"/>
      <c r="E11" s="74"/>
      <c r="F11" s="75"/>
      <c r="G11" s="75"/>
      <c r="H11" s="75"/>
      <c r="I11" s="75"/>
      <c r="J11" s="75"/>
      <c r="K11" s="76"/>
    </row>
    <row r="12" spans="1:11" ht="18.75" customHeight="1">
      <c r="A12" s="125"/>
      <c r="B12" s="46" t="s">
        <v>65</v>
      </c>
      <c r="C12" s="74"/>
      <c r="D12" s="74"/>
      <c r="E12" s="74"/>
      <c r="F12" s="75"/>
      <c r="G12" s="75"/>
      <c r="H12" s="75"/>
      <c r="I12" s="75"/>
      <c r="J12" s="75"/>
      <c r="K12" s="76"/>
    </row>
    <row r="13" spans="1:11" ht="18.75" customHeight="1">
      <c r="A13" s="125"/>
      <c r="B13" s="46" t="s">
        <v>66</v>
      </c>
      <c r="C13" s="74"/>
      <c r="D13" s="74"/>
      <c r="E13" s="74"/>
      <c r="F13" s="75"/>
      <c r="G13" s="75"/>
      <c r="H13" s="75"/>
      <c r="I13" s="75"/>
      <c r="J13" s="75"/>
      <c r="K13" s="76"/>
    </row>
    <row r="14" spans="1:11" ht="18.75" customHeight="1">
      <c r="A14" s="125"/>
      <c r="B14" s="46" t="s">
        <v>67</v>
      </c>
      <c r="C14" s="74"/>
      <c r="D14" s="74"/>
      <c r="E14" s="74"/>
      <c r="F14" s="75"/>
      <c r="G14" s="75"/>
      <c r="H14" s="75"/>
      <c r="I14" s="75"/>
      <c r="J14" s="75"/>
      <c r="K14" s="76"/>
    </row>
    <row r="15" spans="1:11" ht="18.75" customHeight="1">
      <c r="A15" s="125"/>
      <c r="B15" s="46" t="s">
        <v>68</v>
      </c>
      <c r="C15" s="74"/>
      <c r="D15" s="74"/>
      <c r="E15" s="74"/>
      <c r="F15" s="75"/>
      <c r="G15" s="75"/>
      <c r="H15" s="75"/>
      <c r="I15" s="75"/>
      <c r="J15" s="75"/>
      <c r="K15" s="76"/>
    </row>
    <row r="16" spans="1:11" ht="18.75" customHeight="1">
      <c r="A16" s="125"/>
      <c r="B16" s="46" t="s">
        <v>69</v>
      </c>
      <c r="C16" s="74"/>
      <c r="D16" s="74"/>
      <c r="E16" s="74"/>
      <c r="F16" s="75"/>
      <c r="G16" s="75"/>
      <c r="H16" s="75"/>
      <c r="I16" s="75"/>
      <c r="J16" s="75"/>
      <c r="K16" s="76"/>
    </row>
    <row r="17" spans="1:11" ht="18.75" customHeight="1">
      <c r="A17" s="125"/>
      <c r="B17" s="46" t="s">
        <v>70</v>
      </c>
      <c r="C17" s="74"/>
      <c r="D17" s="74"/>
      <c r="E17" s="74"/>
      <c r="F17" s="75"/>
      <c r="G17" s="75"/>
      <c r="H17" s="75"/>
      <c r="I17" s="75"/>
      <c r="J17" s="75"/>
      <c r="K17" s="76"/>
    </row>
    <row r="18" spans="1:11" ht="18.75" customHeight="1">
      <c r="A18" s="125"/>
      <c r="B18" s="46" t="s">
        <v>71</v>
      </c>
      <c r="C18" s="78"/>
      <c r="D18" s="74"/>
      <c r="E18" s="75"/>
      <c r="F18" s="75"/>
      <c r="G18" s="75"/>
      <c r="H18" s="75"/>
      <c r="I18" s="75"/>
      <c r="J18" s="75"/>
      <c r="K18" s="76"/>
    </row>
    <row r="19" spans="1:11" ht="18.75" customHeight="1">
      <c r="A19" s="125"/>
      <c r="B19" s="46" t="s">
        <v>72</v>
      </c>
      <c r="C19" s="51"/>
      <c r="D19" s="78"/>
      <c r="E19" s="75"/>
      <c r="F19" s="75"/>
      <c r="G19" s="75"/>
      <c r="H19" s="75"/>
      <c r="I19" s="75"/>
      <c r="J19" s="75"/>
      <c r="K19" s="76"/>
    </row>
    <row r="20" spans="1:11" ht="18.75" customHeight="1">
      <c r="A20" s="125"/>
      <c r="B20" s="46" t="s">
        <v>73</v>
      </c>
      <c r="C20" s="52"/>
      <c r="D20" s="51"/>
      <c r="E20" s="79"/>
      <c r="F20" s="75"/>
      <c r="G20" s="75"/>
      <c r="H20" s="75"/>
      <c r="I20" s="75"/>
      <c r="J20" s="75"/>
      <c r="K20" s="76"/>
    </row>
    <row r="21" spans="1:11" ht="18.75" customHeight="1">
      <c r="A21" s="125"/>
      <c r="B21" s="46" t="s">
        <v>74</v>
      </c>
      <c r="C21" s="52"/>
      <c r="D21" s="52"/>
      <c r="E21" s="51"/>
      <c r="F21" s="75"/>
      <c r="G21" s="75"/>
      <c r="H21" s="75"/>
      <c r="I21" s="75"/>
      <c r="J21" s="75"/>
      <c r="K21" s="76"/>
    </row>
    <row r="22" spans="1:11" ht="18.75" customHeight="1">
      <c r="A22" s="125"/>
      <c r="B22" s="46" t="s">
        <v>75</v>
      </c>
      <c r="C22" s="52"/>
      <c r="D22" s="52"/>
      <c r="E22" s="52"/>
      <c r="F22" s="79"/>
      <c r="G22" s="75"/>
      <c r="H22" s="75"/>
      <c r="I22" s="75"/>
      <c r="J22" s="75"/>
      <c r="K22" s="76"/>
    </row>
    <row r="23" spans="1:11" ht="18.75" customHeight="1">
      <c r="A23" s="125"/>
      <c r="B23" s="46" t="s">
        <v>76</v>
      </c>
      <c r="C23" s="52"/>
      <c r="D23" s="52"/>
      <c r="E23" s="52"/>
      <c r="F23" s="51"/>
      <c r="G23" s="80"/>
      <c r="H23" s="80"/>
      <c r="I23" s="80"/>
      <c r="J23" s="80"/>
      <c r="K23" s="81"/>
    </row>
    <row r="24" spans="1:11" ht="18.75" customHeight="1">
      <c r="A24" s="125"/>
      <c r="B24" s="46" t="s">
        <v>77</v>
      </c>
      <c r="C24" s="52"/>
      <c r="D24" s="52"/>
      <c r="E24" s="52"/>
      <c r="F24" s="52"/>
      <c r="G24" s="82"/>
      <c r="H24" s="80"/>
      <c r="I24" s="80"/>
      <c r="J24" s="80"/>
      <c r="K24" s="81"/>
    </row>
    <row r="25" spans="1:11" ht="18.75" customHeight="1">
      <c r="A25" s="125"/>
      <c r="B25" s="46" t="s">
        <v>78</v>
      </c>
      <c r="C25" s="52"/>
      <c r="D25" s="52"/>
      <c r="E25" s="52"/>
      <c r="F25" s="52"/>
      <c r="G25" s="51"/>
      <c r="H25" s="80"/>
      <c r="I25" s="80"/>
      <c r="J25" s="80"/>
      <c r="K25" s="81"/>
    </row>
    <row r="26" spans="1:11" ht="18.75" customHeight="1">
      <c r="A26" s="125"/>
      <c r="B26" s="46" t="s">
        <v>79</v>
      </c>
      <c r="C26" s="52"/>
      <c r="D26" s="52"/>
      <c r="E26" s="52"/>
      <c r="F26" s="52"/>
      <c r="G26" s="52"/>
      <c r="H26" s="82"/>
      <c r="I26" s="80"/>
      <c r="J26" s="80"/>
      <c r="K26" s="81"/>
    </row>
    <row r="27" spans="1:11" ht="18.75" customHeight="1">
      <c r="A27" s="125"/>
      <c r="B27" s="46" t="s">
        <v>80</v>
      </c>
      <c r="C27" s="52"/>
      <c r="D27" s="52"/>
      <c r="E27" s="52"/>
      <c r="F27" s="52"/>
      <c r="G27" s="52"/>
      <c r="H27" s="51"/>
      <c r="I27" s="80"/>
      <c r="J27" s="80"/>
      <c r="K27" s="81"/>
    </row>
    <row r="28" spans="1:11" ht="18.75" customHeight="1">
      <c r="A28" s="125"/>
      <c r="B28" s="57" t="s">
        <v>81</v>
      </c>
      <c r="C28" s="58"/>
      <c r="D28" s="58"/>
      <c r="E28" s="58"/>
      <c r="F28" s="58"/>
      <c r="G28" s="58"/>
      <c r="H28" s="58"/>
      <c r="I28" s="83"/>
      <c r="J28" s="83"/>
      <c r="K28" s="84"/>
    </row>
    <row r="29" spans="1:11" ht="26.25" customHeight="1">
      <c r="A29" s="126" t="s">
        <v>82</v>
      </c>
      <c r="B29" s="127"/>
      <c r="C29" s="61">
        <f t="shared" ref="C29:K29" si="1">COUNTA(C9:C28)</f>
        <v>0</v>
      </c>
      <c r="D29" s="61">
        <f t="shared" si="1"/>
        <v>2</v>
      </c>
      <c r="E29" s="61">
        <f t="shared" si="1"/>
        <v>2</v>
      </c>
      <c r="F29" s="61">
        <f t="shared" si="1"/>
        <v>0</v>
      </c>
      <c r="G29" s="61">
        <f t="shared" si="1"/>
        <v>0</v>
      </c>
      <c r="H29" s="61">
        <f t="shared" si="1"/>
        <v>0</v>
      </c>
      <c r="I29" s="61">
        <f t="shared" si="1"/>
        <v>0</v>
      </c>
      <c r="J29" s="61">
        <f t="shared" si="1"/>
        <v>0</v>
      </c>
      <c r="K29" s="62">
        <f t="shared" si="1"/>
        <v>0</v>
      </c>
    </row>
    <row r="30" spans="1:11" ht="26.25" customHeight="1">
      <c r="A30" s="128" t="s">
        <v>83</v>
      </c>
      <c r="B30" s="129"/>
      <c r="C30" s="63">
        <f>C8-C29</f>
        <v>10</v>
      </c>
      <c r="D30" s="63">
        <f>C30+D8-D29</f>
        <v>19</v>
      </c>
      <c r="E30" s="63">
        <f>D8+E8-E29</f>
        <v>21</v>
      </c>
      <c r="F30" s="63">
        <f>E8+F8-F29</f>
        <v>26</v>
      </c>
      <c r="G30" s="63">
        <f>F8+G8-G29</f>
        <v>30</v>
      </c>
      <c r="H30" s="63">
        <f>H8-H29</f>
        <v>18</v>
      </c>
      <c r="I30" s="63">
        <f>I8-I29</f>
        <v>20</v>
      </c>
      <c r="J30" s="63">
        <f>J8-J29</f>
        <v>20</v>
      </c>
      <c r="K30" s="64">
        <f>K8-K29</f>
        <v>20</v>
      </c>
    </row>
    <row r="31" spans="1:11" s="65" customFormat="1" ht="18" customHeight="1">
      <c r="A31" s="130" t="s">
        <v>48</v>
      </c>
      <c r="B31" s="131"/>
      <c r="C31" s="66">
        <f t="shared" ref="C31:K31" si="2">C5</f>
        <v>44440</v>
      </c>
      <c r="D31" s="66">
        <f t="shared" si="2"/>
        <v>44805</v>
      </c>
      <c r="E31" s="66">
        <f t="shared" si="2"/>
        <v>45170</v>
      </c>
      <c r="F31" s="66">
        <f t="shared" si="2"/>
        <v>45536</v>
      </c>
      <c r="G31" s="66">
        <f t="shared" si="2"/>
        <v>45901</v>
      </c>
      <c r="H31" s="66">
        <f t="shared" si="2"/>
        <v>46266</v>
      </c>
      <c r="I31" s="66">
        <f t="shared" si="2"/>
        <v>46631</v>
      </c>
      <c r="J31" s="66">
        <f t="shared" si="2"/>
        <v>46997</v>
      </c>
      <c r="K31" s="66">
        <f t="shared" si="2"/>
        <v>47362</v>
      </c>
    </row>
    <row r="32" spans="1:11" s="65" customFormat="1" ht="18" customHeight="1">
      <c r="A32" s="118" t="s">
        <v>49</v>
      </c>
      <c r="B32" s="119"/>
      <c r="C32" s="66">
        <f t="shared" ref="C32:K32" si="3">C6</f>
        <v>45169</v>
      </c>
      <c r="D32" s="66">
        <f t="shared" si="3"/>
        <v>45535</v>
      </c>
      <c r="E32" s="66">
        <f t="shared" si="3"/>
        <v>45900</v>
      </c>
      <c r="F32" s="66">
        <f t="shared" si="3"/>
        <v>46265</v>
      </c>
      <c r="G32" s="66">
        <f t="shared" si="3"/>
        <v>46630</v>
      </c>
      <c r="H32" s="66">
        <f t="shared" si="3"/>
        <v>46996</v>
      </c>
      <c r="I32" s="66">
        <f t="shared" si="3"/>
        <v>47361</v>
      </c>
      <c r="J32" s="66">
        <f t="shared" si="3"/>
        <v>47726</v>
      </c>
      <c r="K32" s="66">
        <f t="shared" si="3"/>
        <v>48091</v>
      </c>
    </row>
    <row r="33" spans="1:11" ht="27" customHeight="1">
      <c r="A33" s="120" t="s">
        <v>84</v>
      </c>
      <c r="B33" s="121"/>
      <c r="C33" s="121"/>
      <c r="D33" s="121"/>
      <c r="E33" s="121"/>
      <c r="F33" s="121"/>
      <c r="G33" s="121"/>
      <c r="H33" s="121"/>
      <c r="I33" s="121"/>
      <c r="J33" s="121"/>
      <c r="K33" s="121"/>
    </row>
  </sheetData>
  <mergeCells count="12">
    <mergeCell ref="B2:C2"/>
    <mergeCell ref="B3:C3"/>
    <mergeCell ref="A5:B5"/>
    <mergeCell ref="A6:B6"/>
    <mergeCell ref="A7:B7"/>
    <mergeCell ref="A32:B32"/>
    <mergeCell ref="A33:K33"/>
    <mergeCell ref="A8:B8"/>
    <mergeCell ref="A9:A28"/>
    <mergeCell ref="A29:B29"/>
    <mergeCell ref="A30:B30"/>
    <mergeCell ref="A31:B31"/>
  </mergeCells>
  <phoneticPr fontId="3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3"/>
  <sheetViews>
    <sheetView zoomScaleNormal="100" workbookViewId="0">
      <selection activeCell="H23" sqref="H23"/>
    </sheetView>
  </sheetViews>
  <sheetFormatPr defaultColWidth="8.125" defaultRowHeight="13.5" customHeight="1"/>
  <cols>
    <col min="1" max="1" width="18.875" style="29" customWidth="1"/>
    <col min="2" max="2" width="6.25" style="30" customWidth="1"/>
    <col min="3" max="11" width="11.25" style="29" customWidth="1"/>
    <col min="12" max="12" width="8.125" style="29" customWidth="1"/>
    <col min="13" max="16384" width="8.125" style="29"/>
  </cols>
  <sheetData>
    <row r="1" spans="1:11" ht="40.5" customHeight="1">
      <c r="A1" s="31" t="s">
        <v>95</v>
      </c>
    </row>
    <row r="2" spans="1:11" ht="19.5" customHeight="1">
      <c r="A2" s="32" t="s">
        <v>46</v>
      </c>
      <c r="B2" s="154" t="s">
        <v>37</v>
      </c>
      <c r="C2" s="133"/>
    </row>
    <row r="3" spans="1:11" ht="21" customHeight="1">
      <c r="A3" s="32" t="s">
        <v>4</v>
      </c>
      <c r="B3" s="134">
        <v>46113</v>
      </c>
      <c r="C3" s="133"/>
    </row>
    <row r="4" spans="1:11" ht="13.9" customHeight="1">
      <c r="A4" s="33"/>
      <c r="B4" s="34"/>
    </row>
    <row r="5" spans="1:11" ht="18.75" customHeight="1">
      <c r="A5" s="135" t="s">
        <v>48</v>
      </c>
      <c r="B5" s="131"/>
      <c r="C5" s="35">
        <f>DATE(YEAR($B$3),MONTH($B$3)+6,DAY($B$3))</f>
        <v>46296</v>
      </c>
      <c r="D5" s="35">
        <f t="shared" ref="D5:K5" si="0">DATE(YEAR(C5)+1,MONTH(C5),DAY(C5))</f>
        <v>46661</v>
      </c>
      <c r="E5" s="35">
        <f t="shared" si="0"/>
        <v>47027</v>
      </c>
      <c r="F5" s="35">
        <f t="shared" si="0"/>
        <v>47392</v>
      </c>
      <c r="G5" s="35">
        <f t="shared" si="0"/>
        <v>47757</v>
      </c>
      <c r="H5" s="35">
        <f t="shared" si="0"/>
        <v>48122</v>
      </c>
      <c r="I5" s="35">
        <f t="shared" si="0"/>
        <v>48488</v>
      </c>
      <c r="J5" s="35">
        <f t="shared" si="0"/>
        <v>48853</v>
      </c>
      <c r="K5" s="35">
        <f t="shared" si="0"/>
        <v>49218</v>
      </c>
    </row>
    <row r="6" spans="1:11" ht="18.75" customHeight="1">
      <c r="A6" s="136" t="s">
        <v>49</v>
      </c>
      <c r="B6" s="119"/>
      <c r="C6" s="36">
        <f>DATE(YEAR($C$5)+2,MONTH($C$5),DAY($C$5)-1)</f>
        <v>47026</v>
      </c>
      <c r="D6" s="36">
        <f>DATE(YEAR($D$5)+2,MONTH($D$5),DAY($D$5)-1)</f>
        <v>47391</v>
      </c>
      <c r="E6" s="36">
        <f>DATE(YEAR($E$5)+2,MONTH($E$5),DAY($E$5)-1)</f>
        <v>47756</v>
      </c>
      <c r="F6" s="36">
        <f>DATE(YEAR($F$5)+2,MONTH($F$5),DAY($F$5)-1)</f>
        <v>48121</v>
      </c>
      <c r="G6" s="36">
        <f>DATE(YEAR($G$5)+2,MONTH($G$5),DAY($G$5)-1)</f>
        <v>48487</v>
      </c>
      <c r="H6" s="36">
        <f>DATE(YEAR($H$5)+2,MONTH($H$5),DAY($H$5)-1)</f>
        <v>48852</v>
      </c>
      <c r="I6" s="36">
        <f>DATE(YEAR($I$5)+2,MONTH($I$5),DAY($I$5)-1)</f>
        <v>49217</v>
      </c>
      <c r="J6" s="36">
        <f>DATE(YEAR($J$5)+2,MONTH($J$5),DAY($J$5)-1)</f>
        <v>49582</v>
      </c>
      <c r="K6" s="37">
        <f>DATE(YEAR($K$5)+2,MONTH($K$5),DAY($K$5)-1)</f>
        <v>49948</v>
      </c>
    </row>
    <row r="7" spans="1:11" ht="18.75" customHeight="1">
      <c r="A7" s="136" t="s">
        <v>50</v>
      </c>
      <c r="B7" s="119"/>
      <c r="C7" s="38" t="s">
        <v>51</v>
      </c>
      <c r="D7" s="38" t="s">
        <v>52</v>
      </c>
      <c r="E7" s="38" t="s">
        <v>53</v>
      </c>
      <c r="F7" s="38" t="s">
        <v>54</v>
      </c>
      <c r="G7" s="38" t="s">
        <v>55</v>
      </c>
      <c r="H7" s="38" t="s">
        <v>56</v>
      </c>
      <c r="I7" s="38" t="s">
        <v>57</v>
      </c>
      <c r="J7" s="38" t="s">
        <v>58</v>
      </c>
      <c r="K7" s="39" t="s">
        <v>59</v>
      </c>
    </row>
    <row r="8" spans="1:11" ht="18.75" customHeight="1">
      <c r="A8" s="122" t="s">
        <v>60</v>
      </c>
      <c r="B8" s="123"/>
      <c r="C8" s="40">
        <v>10</v>
      </c>
      <c r="D8" s="40">
        <v>11</v>
      </c>
      <c r="E8" s="40">
        <v>12</v>
      </c>
      <c r="F8" s="40">
        <v>14</v>
      </c>
      <c r="G8" s="40">
        <v>16</v>
      </c>
      <c r="H8" s="40">
        <v>18</v>
      </c>
      <c r="I8" s="40">
        <v>20</v>
      </c>
      <c r="J8" s="40">
        <v>20</v>
      </c>
      <c r="K8" s="41">
        <v>20</v>
      </c>
    </row>
    <row r="9" spans="1:11" ht="18.75" customHeight="1">
      <c r="A9" s="124" t="s">
        <v>61</v>
      </c>
      <c r="B9" s="42" t="s">
        <v>62</v>
      </c>
      <c r="C9" s="70"/>
      <c r="D9" s="70"/>
      <c r="E9" s="70"/>
      <c r="F9" s="71"/>
      <c r="G9" s="71"/>
      <c r="H9" s="71"/>
      <c r="I9" s="71"/>
      <c r="J9" s="71"/>
      <c r="K9" s="72"/>
    </row>
    <row r="10" spans="1:11" ht="18.75" customHeight="1">
      <c r="A10" s="125"/>
      <c r="B10" s="46" t="s">
        <v>63</v>
      </c>
      <c r="C10" s="74"/>
      <c r="D10" s="74"/>
      <c r="E10" s="74"/>
      <c r="F10" s="75"/>
      <c r="G10" s="75"/>
      <c r="H10" s="75"/>
      <c r="I10" s="75"/>
      <c r="J10" s="75"/>
      <c r="K10" s="76"/>
    </row>
    <row r="11" spans="1:11" ht="18.75" customHeight="1">
      <c r="A11" s="125"/>
      <c r="B11" s="46" t="s">
        <v>64</v>
      </c>
      <c r="C11" s="74"/>
      <c r="D11" s="74"/>
      <c r="E11" s="74"/>
      <c r="F11" s="75"/>
      <c r="G11" s="75"/>
      <c r="H11" s="75"/>
      <c r="I11" s="75"/>
      <c r="J11" s="75"/>
      <c r="K11" s="76"/>
    </row>
    <row r="12" spans="1:11" ht="18.75" customHeight="1">
      <c r="A12" s="125"/>
      <c r="B12" s="46" t="s">
        <v>65</v>
      </c>
      <c r="C12" s="74"/>
      <c r="D12" s="74"/>
      <c r="E12" s="74"/>
      <c r="F12" s="75"/>
      <c r="G12" s="75"/>
      <c r="H12" s="75"/>
      <c r="I12" s="75"/>
      <c r="J12" s="75"/>
      <c r="K12" s="76"/>
    </row>
    <row r="13" spans="1:11" ht="18.75" customHeight="1">
      <c r="A13" s="125"/>
      <c r="B13" s="46" t="s">
        <v>66</v>
      </c>
      <c r="C13" s="74"/>
      <c r="D13" s="74"/>
      <c r="E13" s="74"/>
      <c r="F13" s="75"/>
      <c r="G13" s="75"/>
      <c r="H13" s="75"/>
      <c r="I13" s="75"/>
      <c r="J13" s="75"/>
      <c r="K13" s="76"/>
    </row>
    <row r="14" spans="1:11" ht="18.75" customHeight="1">
      <c r="A14" s="125"/>
      <c r="B14" s="46" t="s">
        <v>67</v>
      </c>
      <c r="C14" s="74"/>
      <c r="D14" s="74"/>
      <c r="E14" s="74"/>
      <c r="F14" s="75"/>
      <c r="G14" s="75"/>
      <c r="H14" s="75"/>
      <c r="I14" s="75"/>
      <c r="J14" s="75"/>
      <c r="K14" s="76"/>
    </row>
    <row r="15" spans="1:11" ht="18.75" customHeight="1">
      <c r="A15" s="125"/>
      <c r="B15" s="46" t="s">
        <v>68</v>
      </c>
      <c r="C15" s="89"/>
      <c r="D15" s="74"/>
      <c r="E15" s="74"/>
      <c r="F15" s="75"/>
      <c r="G15" s="75"/>
      <c r="H15" s="75"/>
      <c r="I15" s="75"/>
      <c r="J15" s="75"/>
      <c r="K15" s="76"/>
    </row>
    <row r="16" spans="1:11" ht="18.75" customHeight="1">
      <c r="A16" s="125"/>
      <c r="B16" s="46" t="s">
        <v>69</v>
      </c>
      <c r="C16" s="90"/>
      <c r="D16" s="91"/>
      <c r="E16" s="74"/>
      <c r="F16" s="75"/>
      <c r="G16" s="75"/>
      <c r="H16" s="75"/>
      <c r="I16" s="75"/>
      <c r="J16" s="75"/>
      <c r="K16" s="76"/>
    </row>
    <row r="17" spans="1:11" ht="18.75" customHeight="1">
      <c r="A17" s="125"/>
      <c r="B17" s="46" t="s">
        <v>70</v>
      </c>
      <c r="C17" s="74"/>
      <c r="D17" s="92"/>
      <c r="E17" s="91"/>
      <c r="F17" s="75"/>
      <c r="G17" s="75"/>
      <c r="H17" s="75"/>
      <c r="I17" s="75"/>
      <c r="J17" s="75"/>
      <c r="K17" s="76"/>
    </row>
    <row r="18" spans="1:11" ht="18.75" customHeight="1">
      <c r="A18" s="125"/>
      <c r="B18" s="46" t="s">
        <v>71</v>
      </c>
      <c r="C18" s="91"/>
      <c r="D18" s="74"/>
      <c r="E18" s="92"/>
      <c r="F18" s="93"/>
      <c r="G18" s="75"/>
      <c r="H18" s="75"/>
      <c r="I18" s="75"/>
      <c r="J18" s="75"/>
      <c r="K18" s="76"/>
    </row>
    <row r="19" spans="1:11" ht="18.75" customHeight="1">
      <c r="A19" s="125"/>
      <c r="B19" s="46" t="s">
        <v>72</v>
      </c>
      <c r="C19" s="94"/>
      <c r="D19" s="78"/>
      <c r="E19" s="74"/>
      <c r="F19" s="95"/>
      <c r="G19" s="75"/>
      <c r="H19" s="75"/>
      <c r="I19" s="75"/>
      <c r="J19" s="75"/>
      <c r="K19" s="76"/>
    </row>
    <row r="20" spans="1:11" ht="18.75" customHeight="1">
      <c r="A20" s="125"/>
      <c r="B20" s="46" t="s">
        <v>73</v>
      </c>
      <c r="C20" s="52"/>
      <c r="D20" s="51"/>
      <c r="E20" s="91"/>
      <c r="F20" s="75"/>
      <c r="G20" s="93"/>
      <c r="H20" s="75"/>
      <c r="I20" s="75"/>
      <c r="J20" s="75"/>
      <c r="K20" s="76"/>
    </row>
    <row r="21" spans="1:11" ht="18.75" customHeight="1">
      <c r="A21" s="125"/>
      <c r="B21" s="46" t="s">
        <v>74</v>
      </c>
      <c r="C21" s="52"/>
      <c r="D21" s="52"/>
      <c r="E21" s="94"/>
      <c r="F21" s="75"/>
      <c r="G21" s="95"/>
      <c r="H21" s="96"/>
      <c r="I21" s="75"/>
      <c r="J21" s="75"/>
      <c r="K21" s="76"/>
    </row>
    <row r="22" spans="1:11" ht="18.75" customHeight="1">
      <c r="A22" s="125"/>
      <c r="B22" s="46" t="s">
        <v>75</v>
      </c>
      <c r="C22" s="52"/>
      <c r="D22" s="52"/>
      <c r="E22" s="52"/>
      <c r="F22" s="93"/>
      <c r="G22" s="75"/>
      <c r="H22" s="97"/>
      <c r="I22" s="75"/>
      <c r="J22" s="75"/>
      <c r="K22" s="76"/>
    </row>
    <row r="23" spans="1:11" ht="18.75" customHeight="1">
      <c r="A23" s="125"/>
      <c r="B23" s="46" t="s">
        <v>76</v>
      </c>
      <c r="C23" s="52"/>
      <c r="D23" s="52"/>
      <c r="E23" s="52"/>
      <c r="F23" s="94"/>
      <c r="G23" s="75"/>
      <c r="H23" s="75"/>
      <c r="I23" s="83"/>
      <c r="J23" s="98"/>
      <c r="K23" s="98"/>
    </row>
    <row r="24" spans="1:11" ht="18.75" customHeight="1">
      <c r="A24" s="125"/>
      <c r="B24" s="46" t="s">
        <v>77</v>
      </c>
      <c r="C24" s="52"/>
      <c r="D24" s="52"/>
      <c r="E24" s="52"/>
      <c r="F24" s="52"/>
      <c r="G24" s="79"/>
      <c r="H24" s="75"/>
      <c r="I24" s="95"/>
      <c r="J24" s="97"/>
      <c r="K24" s="97"/>
    </row>
    <row r="25" spans="1:11" ht="18.75" customHeight="1">
      <c r="A25" s="125"/>
      <c r="B25" s="46" t="s">
        <v>78</v>
      </c>
      <c r="C25" s="52"/>
      <c r="D25" s="52"/>
      <c r="E25" s="52"/>
      <c r="F25" s="52"/>
      <c r="G25" s="51"/>
      <c r="H25" s="99"/>
      <c r="I25" s="75"/>
      <c r="J25" s="75"/>
      <c r="K25" s="75"/>
    </row>
    <row r="26" spans="1:11" ht="18.75" customHeight="1">
      <c r="A26" s="125"/>
      <c r="B26" s="46" t="s">
        <v>79</v>
      </c>
      <c r="C26" s="52"/>
      <c r="D26" s="52"/>
      <c r="E26" s="52"/>
      <c r="F26" s="52"/>
      <c r="G26" s="52"/>
      <c r="H26" s="100"/>
      <c r="I26" s="75"/>
      <c r="J26" s="75"/>
      <c r="K26" s="75"/>
    </row>
    <row r="27" spans="1:11" ht="18.75" customHeight="1">
      <c r="A27" s="125"/>
      <c r="B27" s="46" t="s">
        <v>80</v>
      </c>
      <c r="C27" s="52"/>
      <c r="D27" s="52"/>
      <c r="E27" s="52"/>
      <c r="F27" s="52"/>
      <c r="G27" s="52"/>
      <c r="H27" s="51"/>
      <c r="I27" s="99"/>
      <c r="J27" s="99"/>
      <c r="K27" s="99"/>
    </row>
    <row r="28" spans="1:11" ht="18.75" customHeight="1">
      <c r="A28" s="125"/>
      <c r="B28" s="57" t="s">
        <v>81</v>
      </c>
      <c r="C28" s="58"/>
      <c r="D28" s="58"/>
      <c r="E28" s="58"/>
      <c r="F28" s="58"/>
      <c r="G28" s="58"/>
      <c r="H28" s="58"/>
      <c r="I28" s="101"/>
      <c r="J28" s="101"/>
      <c r="K28" s="101"/>
    </row>
    <row r="29" spans="1:11" ht="26.25" customHeight="1">
      <c r="A29" s="126" t="s">
        <v>82</v>
      </c>
      <c r="B29" s="127"/>
      <c r="C29" s="61">
        <f t="shared" ref="C29:K29" si="1">COUNTA(C9:C28)</f>
        <v>0</v>
      </c>
      <c r="D29" s="61">
        <f t="shared" si="1"/>
        <v>0</v>
      </c>
      <c r="E29" s="61">
        <f t="shared" si="1"/>
        <v>0</v>
      </c>
      <c r="F29" s="61">
        <f t="shared" si="1"/>
        <v>0</v>
      </c>
      <c r="G29" s="61">
        <f t="shared" si="1"/>
        <v>0</v>
      </c>
      <c r="H29" s="61">
        <f t="shared" si="1"/>
        <v>0</v>
      </c>
      <c r="I29" s="61">
        <f t="shared" si="1"/>
        <v>0</v>
      </c>
      <c r="J29" s="61">
        <f t="shared" si="1"/>
        <v>0</v>
      </c>
      <c r="K29" s="62">
        <f t="shared" si="1"/>
        <v>0</v>
      </c>
    </row>
    <row r="30" spans="1:11" ht="26.25" customHeight="1">
      <c r="A30" s="128" t="s">
        <v>83</v>
      </c>
      <c r="B30" s="129"/>
      <c r="C30" s="63">
        <f>C8-C29</f>
        <v>10</v>
      </c>
      <c r="D30" s="63">
        <f t="shared" ref="D30:K30" si="2">C8+D8-D29</f>
        <v>21</v>
      </c>
      <c r="E30" s="63">
        <f t="shared" si="2"/>
        <v>23</v>
      </c>
      <c r="F30" s="63">
        <f t="shared" si="2"/>
        <v>26</v>
      </c>
      <c r="G30" s="63">
        <f t="shared" si="2"/>
        <v>30</v>
      </c>
      <c r="H30" s="63">
        <f t="shared" si="2"/>
        <v>34</v>
      </c>
      <c r="I30" s="63">
        <f t="shared" si="2"/>
        <v>38</v>
      </c>
      <c r="J30" s="63">
        <f t="shared" si="2"/>
        <v>40</v>
      </c>
      <c r="K30" s="63">
        <f t="shared" si="2"/>
        <v>40</v>
      </c>
    </row>
    <row r="31" spans="1:11" s="65" customFormat="1" ht="18" customHeight="1">
      <c r="A31" s="130" t="s">
        <v>48</v>
      </c>
      <c r="B31" s="131"/>
      <c r="C31" s="66">
        <f t="shared" ref="C31:K32" si="3">C5</f>
        <v>46296</v>
      </c>
      <c r="D31" s="66">
        <f t="shared" si="3"/>
        <v>46661</v>
      </c>
      <c r="E31" s="66">
        <f t="shared" si="3"/>
        <v>47027</v>
      </c>
      <c r="F31" s="66">
        <f t="shared" si="3"/>
        <v>47392</v>
      </c>
      <c r="G31" s="66">
        <f t="shared" si="3"/>
        <v>47757</v>
      </c>
      <c r="H31" s="66">
        <f t="shared" si="3"/>
        <v>48122</v>
      </c>
      <c r="I31" s="66">
        <f t="shared" si="3"/>
        <v>48488</v>
      </c>
      <c r="J31" s="66">
        <f t="shared" si="3"/>
        <v>48853</v>
      </c>
      <c r="K31" s="66">
        <f t="shared" si="3"/>
        <v>49218</v>
      </c>
    </row>
    <row r="32" spans="1:11" s="65" customFormat="1" ht="18" customHeight="1">
      <c r="A32" s="118" t="s">
        <v>49</v>
      </c>
      <c r="B32" s="119"/>
      <c r="C32" s="66">
        <f t="shared" si="3"/>
        <v>47026</v>
      </c>
      <c r="D32" s="66">
        <f t="shared" si="3"/>
        <v>47391</v>
      </c>
      <c r="E32" s="66">
        <f t="shared" si="3"/>
        <v>47756</v>
      </c>
      <c r="F32" s="66">
        <f t="shared" si="3"/>
        <v>48121</v>
      </c>
      <c r="G32" s="66">
        <f t="shared" si="3"/>
        <v>48487</v>
      </c>
      <c r="H32" s="66">
        <f t="shared" si="3"/>
        <v>48852</v>
      </c>
      <c r="I32" s="66">
        <f t="shared" si="3"/>
        <v>49217</v>
      </c>
      <c r="J32" s="66">
        <f t="shared" si="3"/>
        <v>49582</v>
      </c>
      <c r="K32" s="66">
        <f t="shared" si="3"/>
        <v>49948</v>
      </c>
    </row>
    <row r="33" spans="1:11" ht="27" customHeight="1">
      <c r="A33" s="120" t="s">
        <v>84</v>
      </c>
      <c r="B33" s="121"/>
      <c r="C33" s="121"/>
      <c r="D33" s="121"/>
      <c r="E33" s="121"/>
      <c r="F33" s="121"/>
      <c r="G33" s="121"/>
      <c r="H33" s="121"/>
      <c r="I33" s="121"/>
      <c r="J33" s="121"/>
      <c r="K33" s="121"/>
    </row>
  </sheetData>
  <mergeCells count="12">
    <mergeCell ref="B2:C2"/>
    <mergeCell ref="B3:C3"/>
    <mergeCell ref="A5:B5"/>
    <mergeCell ref="A6:B6"/>
    <mergeCell ref="A7:B7"/>
    <mergeCell ref="A32:B32"/>
    <mergeCell ref="A33:K33"/>
    <mergeCell ref="A8:B8"/>
    <mergeCell ref="A9:A28"/>
    <mergeCell ref="A29:B29"/>
    <mergeCell ref="A30:B30"/>
    <mergeCell ref="A31:B31"/>
  </mergeCells>
  <phoneticPr fontId="31"/>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3"/>
  <sheetViews>
    <sheetView tabSelected="1" zoomScaleNormal="100" workbookViewId="0">
      <selection activeCell="G17" sqref="G17"/>
    </sheetView>
  </sheetViews>
  <sheetFormatPr defaultColWidth="8.125" defaultRowHeight="13.5" customHeight="1"/>
  <cols>
    <col min="1" max="1" width="18.875" style="29" customWidth="1"/>
    <col min="2" max="2" width="6.25" style="30" customWidth="1"/>
    <col min="3" max="11" width="13" style="29" customWidth="1"/>
    <col min="12" max="12" width="8.125" style="29" customWidth="1"/>
    <col min="13" max="16384" width="8.125" style="29"/>
  </cols>
  <sheetData>
    <row r="1" spans="1:11" ht="40.5" customHeight="1">
      <c r="A1" s="31" t="s">
        <v>45</v>
      </c>
    </row>
    <row r="2" spans="1:11" ht="19.5" customHeight="1">
      <c r="A2" s="32" t="s">
        <v>46</v>
      </c>
      <c r="B2" s="132" t="s">
        <v>96</v>
      </c>
      <c r="C2" s="133"/>
    </row>
    <row r="3" spans="1:11" ht="21" customHeight="1">
      <c r="A3" s="32" t="s">
        <v>4</v>
      </c>
      <c r="B3" s="134">
        <v>45091</v>
      </c>
      <c r="C3" s="133"/>
      <c r="D3" s="102" t="s">
        <v>97</v>
      </c>
    </row>
    <row r="4" spans="1:11" ht="13.9" customHeight="1">
      <c r="A4" s="33"/>
      <c r="B4" s="34"/>
    </row>
    <row r="5" spans="1:11" ht="18.75" customHeight="1">
      <c r="A5" s="135" t="s">
        <v>48</v>
      </c>
      <c r="B5" s="131"/>
      <c r="C5" s="35">
        <f>DATE(YEAR($B$3),MONTH($B$3)+6,DAY($B$3))</f>
        <v>45274</v>
      </c>
      <c r="D5" s="35">
        <f t="shared" ref="D5:K5" si="0">DATE(YEAR(C5)+1,MONTH(C5),DAY(C5))</f>
        <v>45640</v>
      </c>
      <c r="E5" s="35">
        <f t="shared" si="0"/>
        <v>46005</v>
      </c>
      <c r="F5" s="35">
        <f t="shared" si="0"/>
        <v>46370</v>
      </c>
      <c r="G5" s="35">
        <f t="shared" si="0"/>
        <v>46735</v>
      </c>
      <c r="H5" s="35">
        <f t="shared" si="0"/>
        <v>47101</v>
      </c>
      <c r="I5" s="35">
        <f t="shared" si="0"/>
        <v>47466</v>
      </c>
      <c r="J5" s="35">
        <f t="shared" si="0"/>
        <v>47831</v>
      </c>
      <c r="K5" s="35">
        <f t="shared" si="0"/>
        <v>48196</v>
      </c>
    </row>
    <row r="6" spans="1:11" ht="18.75" customHeight="1">
      <c r="A6" s="136" t="s">
        <v>49</v>
      </c>
      <c r="B6" s="119"/>
      <c r="C6" s="36">
        <f>DATE(YEAR($C$5)+2,MONTH($C$5),DAY($C$5)-1)</f>
        <v>46004</v>
      </c>
      <c r="D6" s="36">
        <f>DATE(YEAR($D$5)+2,MONTH($D$5),DAY($D$5)-1)</f>
        <v>46369</v>
      </c>
      <c r="E6" s="36">
        <f>DATE(YEAR($E$5)+2,MONTH($E$5),DAY($E$5)-1)</f>
        <v>46734</v>
      </c>
      <c r="F6" s="36">
        <f>DATE(YEAR($F$5)+2,MONTH($F$5),DAY($F$5)-1)</f>
        <v>47100</v>
      </c>
      <c r="G6" s="36">
        <f>DATE(YEAR($G$5)+2,MONTH($G$5),DAY($G$5)-1)</f>
        <v>47465</v>
      </c>
      <c r="H6" s="36">
        <f>DATE(YEAR($H$5)+2,MONTH($H$5),DAY($H$5)-1)</f>
        <v>47830</v>
      </c>
      <c r="I6" s="36">
        <f>DATE(YEAR($I$5)+2,MONTH($I$5),DAY($I$5)-1)</f>
        <v>48195</v>
      </c>
      <c r="J6" s="36">
        <f>DATE(YEAR($J$5)+2,MONTH($J$5),DAY($J$5)-1)</f>
        <v>48561</v>
      </c>
      <c r="K6" s="37">
        <f>DATE(YEAR($K$5)+2,MONTH($K$5),DAY($K$5)-1)</f>
        <v>48926</v>
      </c>
    </row>
    <row r="7" spans="1:11" ht="18.75" customHeight="1">
      <c r="A7" s="136" t="s">
        <v>50</v>
      </c>
      <c r="B7" s="119"/>
      <c r="C7" s="38" t="s">
        <v>51</v>
      </c>
      <c r="D7" s="38" t="s">
        <v>52</v>
      </c>
      <c r="E7" s="38" t="s">
        <v>53</v>
      </c>
      <c r="F7" s="38" t="s">
        <v>54</v>
      </c>
      <c r="G7" s="38" t="s">
        <v>55</v>
      </c>
      <c r="H7" s="38" t="s">
        <v>56</v>
      </c>
      <c r="I7" s="38" t="s">
        <v>57</v>
      </c>
      <c r="J7" s="38" t="s">
        <v>58</v>
      </c>
      <c r="K7" s="39" t="s">
        <v>59</v>
      </c>
    </row>
    <row r="8" spans="1:11" ht="18.75" customHeight="1">
      <c r="A8" s="122" t="s">
        <v>60</v>
      </c>
      <c r="B8" s="123"/>
      <c r="C8" s="40">
        <v>10</v>
      </c>
      <c r="D8" s="103">
        <v>16</v>
      </c>
      <c r="E8" s="40">
        <v>12</v>
      </c>
      <c r="F8" s="40">
        <v>14</v>
      </c>
      <c r="G8" s="40">
        <v>16</v>
      </c>
      <c r="H8" s="40">
        <v>18</v>
      </c>
      <c r="I8" s="40">
        <v>20</v>
      </c>
      <c r="J8" s="40">
        <v>20</v>
      </c>
      <c r="K8" s="41">
        <v>20</v>
      </c>
    </row>
    <row r="9" spans="1:11" ht="18.75" customHeight="1">
      <c r="A9" s="124" t="s">
        <v>61</v>
      </c>
      <c r="B9" s="42" t="s">
        <v>62</v>
      </c>
      <c r="C9" s="104">
        <v>45341</v>
      </c>
      <c r="D9" s="74">
        <v>45770</v>
      </c>
      <c r="E9" s="105">
        <v>46169</v>
      </c>
      <c r="F9" s="71"/>
      <c r="G9" s="71"/>
      <c r="H9" s="71"/>
      <c r="I9" s="71"/>
      <c r="J9" s="71"/>
      <c r="K9" s="72"/>
    </row>
    <row r="10" spans="1:11" ht="18.75" customHeight="1">
      <c r="A10" s="125"/>
      <c r="B10" s="46" t="s">
        <v>63</v>
      </c>
      <c r="C10" s="74">
        <v>45391</v>
      </c>
      <c r="D10" s="74">
        <v>45771</v>
      </c>
      <c r="E10" s="106">
        <v>46170</v>
      </c>
      <c r="F10" s="75"/>
      <c r="G10" s="75"/>
      <c r="H10" s="75"/>
      <c r="I10" s="75"/>
      <c r="J10" s="75"/>
      <c r="K10" s="76"/>
    </row>
    <row r="11" spans="1:11" ht="18.75" customHeight="1">
      <c r="A11" s="125"/>
      <c r="B11" s="46" t="s">
        <v>64</v>
      </c>
      <c r="C11" s="74">
        <v>45392</v>
      </c>
      <c r="D11" s="74">
        <v>45772</v>
      </c>
      <c r="E11" s="90">
        <v>46171</v>
      </c>
      <c r="F11" s="75"/>
      <c r="G11" s="75"/>
      <c r="H11" s="75"/>
      <c r="I11" s="75"/>
      <c r="J11" s="75"/>
      <c r="K11" s="76"/>
    </row>
    <row r="12" spans="1:11" ht="18.75" customHeight="1">
      <c r="A12" s="125"/>
      <c r="B12" s="46" t="s">
        <v>65</v>
      </c>
      <c r="C12" s="74">
        <v>45393</v>
      </c>
      <c r="D12" s="74">
        <v>45817</v>
      </c>
      <c r="E12" s="74">
        <v>46174</v>
      </c>
      <c r="F12" s="75"/>
      <c r="G12" s="75"/>
      <c r="H12" s="75"/>
      <c r="I12" s="75"/>
      <c r="J12" s="75"/>
      <c r="K12" s="76"/>
    </row>
    <row r="13" spans="1:11" ht="18.75" customHeight="1">
      <c r="A13" s="125"/>
      <c r="B13" s="46" t="s">
        <v>66</v>
      </c>
      <c r="C13" s="74">
        <v>45399</v>
      </c>
      <c r="D13" s="74">
        <v>45818</v>
      </c>
      <c r="E13" s="74">
        <v>46175</v>
      </c>
      <c r="F13" s="75"/>
      <c r="G13" s="75"/>
      <c r="H13" s="75"/>
      <c r="I13" s="75"/>
      <c r="J13" s="75"/>
      <c r="K13" s="76"/>
    </row>
    <row r="14" spans="1:11" ht="18.75" customHeight="1">
      <c r="A14" s="125"/>
      <c r="B14" s="46" t="s">
        <v>67</v>
      </c>
      <c r="C14" s="74">
        <v>45400</v>
      </c>
      <c r="D14" s="74">
        <v>45873</v>
      </c>
      <c r="E14" s="74">
        <v>46176</v>
      </c>
      <c r="F14" s="75"/>
      <c r="G14" s="75"/>
      <c r="H14" s="75"/>
      <c r="I14" s="75"/>
      <c r="J14" s="75"/>
      <c r="K14" s="76"/>
    </row>
    <row r="15" spans="1:11" ht="18.75" customHeight="1">
      <c r="A15" s="125"/>
      <c r="B15" s="46" t="s">
        <v>68</v>
      </c>
      <c r="C15" s="91">
        <v>45492</v>
      </c>
      <c r="D15" s="74">
        <v>45880</v>
      </c>
      <c r="E15" s="74">
        <v>46177</v>
      </c>
      <c r="F15" s="75"/>
      <c r="G15" s="75"/>
      <c r="H15" s="75"/>
      <c r="I15" s="75"/>
      <c r="J15" s="75"/>
      <c r="K15" s="76"/>
    </row>
    <row r="16" spans="1:11" ht="18.75" customHeight="1">
      <c r="A16" s="125"/>
      <c r="B16" s="46" t="s">
        <v>69</v>
      </c>
      <c r="C16" s="107">
        <v>45667</v>
      </c>
      <c r="D16" s="74">
        <v>46135</v>
      </c>
      <c r="E16" s="74">
        <v>46178</v>
      </c>
      <c r="F16" s="75"/>
      <c r="G16" s="75"/>
      <c r="H16" s="75"/>
      <c r="I16" s="75"/>
      <c r="J16" s="75"/>
      <c r="K16" s="76"/>
    </row>
    <row r="17" spans="1:11" ht="18.75" customHeight="1">
      <c r="A17" s="125"/>
      <c r="B17" s="46" t="s">
        <v>70</v>
      </c>
      <c r="C17" s="74">
        <v>45747</v>
      </c>
      <c r="D17" s="74">
        <v>46136</v>
      </c>
      <c r="E17" s="74">
        <v>46181</v>
      </c>
      <c r="F17" s="75"/>
      <c r="G17" s="75"/>
      <c r="H17" s="75"/>
      <c r="I17" s="75"/>
      <c r="J17" s="75"/>
      <c r="K17" s="76"/>
    </row>
    <row r="18" spans="1:11" ht="18.75" customHeight="1">
      <c r="A18" s="125"/>
      <c r="B18" s="46" t="s">
        <v>71</v>
      </c>
      <c r="C18" s="78">
        <v>45748</v>
      </c>
      <c r="D18" s="74">
        <v>46146</v>
      </c>
      <c r="E18" s="75"/>
      <c r="F18" s="75"/>
      <c r="G18" s="75"/>
      <c r="H18" s="75"/>
      <c r="I18" s="75"/>
      <c r="J18" s="75"/>
      <c r="K18" s="76"/>
    </row>
    <row r="19" spans="1:11" ht="18.75" customHeight="1">
      <c r="A19" s="125"/>
      <c r="B19" s="46" t="s">
        <v>72</v>
      </c>
      <c r="C19" s="51"/>
      <c r="D19" s="74">
        <v>46147</v>
      </c>
      <c r="E19" s="75"/>
      <c r="F19" s="75"/>
      <c r="G19" s="75"/>
      <c r="H19" s="75"/>
      <c r="I19" s="75"/>
      <c r="J19" s="75"/>
      <c r="K19" s="76"/>
    </row>
    <row r="20" spans="1:11" ht="18.75" customHeight="1">
      <c r="A20" s="125"/>
      <c r="B20" s="46" t="s">
        <v>73</v>
      </c>
      <c r="C20" s="52"/>
      <c r="D20" s="74">
        <v>46148</v>
      </c>
      <c r="E20" s="79"/>
      <c r="F20" s="75"/>
      <c r="G20" s="75"/>
      <c r="H20" s="75"/>
      <c r="I20" s="75"/>
      <c r="J20" s="75"/>
      <c r="K20" s="76"/>
    </row>
    <row r="21" spans="1:11" ht="18.75" customHeight="1">
      <c r="A21" s="125"/>
      <c r="B21" s="46" t="s">
        <v>74</v>
      </c>
      <c r="C21" s="52"/>
      <c r="D21" s="48">
        <v>46163</v>
      </c>
      <c r="E21" s="51"/>
      <c r="F21" s="75"/>
      <c r="G21" s="75"/>
      <c r="H21" s="75"/>
      <c r="I21" s="75"/>
      <c r="J21" s="75"/>
      <c r="K21" s="76"/>
    </row>
    <row r="22" spans="1:11" ht="18.75" customHeight="1">
      <c r="A22" s="125"/>
      <c r="B22" s="46" t="s">
        <v>75</v>
      </c>
      <c r="C22" s="52"/>
      <c r="D22" s="48">
        <v>46164</v>
      </c>
      <c r="E22" s="52"/>
      <c r="F22" s="79"/>
      <c r="G22" s="75"/>
      <c r="H22" s="75"/>
      <c r="I22" s="75"/>
      <c r="J22" s="75"/>
      <c r="K22" s="76"/>
    </row>
    <row r="23" spans="1:11" ht="18.75" customHeight="1">
      <c r="A23" s="125"/>
      <c r="B23" s="46" t="s">
        <v>76</v>
      </c>
      <c r="C23" s="52"/>
      <c r="D23" s="48">
        <v>46167</v>
      </c>
      <c r="E23" s="52"/>
      <c r="F23" s="51"/>
      <c r="G23" s="80"/>
      <c r="H23" s="80"/>
      <c r="I23" s="80"/>
      <c r="J23" s="80"/>
      <c r="K23" s="81"/>
    </row>
    <row r="24" spans="1:11" ht="18.75" customHeight="1">
      <c r="A24" s="125"/>
      <c r="B24" s="46" t="s">
        <v>77</v>
      </c>
      <c r="C24" s="52"/>
      <c r="D24" s="53">
        <v>46168</v>
      </c>
      <c r="E24" s="52"/>
      <c r="F24" s="52"/>
      <c r="G24" s="82"/>
      <c r="H24" s="80"/>
      <c r="I24" s="80"/>
      <c r="J24" s="80"/>
      <c r="K24" s="81"/>
    </row>
    <row r="25" spans="1:11" ht="18.75" customHeight="1">
      <c r="A25" s="125"/>
      <c r="B25" s="46" t="s">
        <v>78</v>
      </c>
      <c r="C25" s="52"/>
      <c r="D25" s="108"/>
      <c r="E25" s="52"/>
      <c r="F25" s="52"/>
      <c r="G25" s="51"/>
      <c r="H25" s="80"/>
      <c r="I25" s="80"/>
      <c r="J25" s="80"/>
      <c r="K25" s="81"/>
    </row>
    <row r="26" spans="1:11" ht="18.75" customHeight="1">
      <c r="A26" s="125"/>
      <c r="B26" s="46" t="s">
        <v>79</v>
      </c>
      <c r="C26" s="52"/>
      <c r="D26" s="52"/>
      <c r="E26" s="52"/>
      <c r="F26" s="52"/>
      <c r="G26" s="52"/>
      <c r="H26" s="82"/>
      <c r="I26" s="80"/>
      <c r="J26" s="80"/>
      <c r="K26" s="81"/>
    </row>
    <row r="27" spans="1:11" ht="18.75" customHeight="1">
      <c r="A27" s="125"/>
      <c r="B27" s="46" t="s">
        <v>80</v>
      </c>
      <c r="C27" s="52"/>
      <c r="D27" s="52"/>
      <c r="E27" s="52"/>
      <c r="F27" s="52"/>
      <c r="G27" s="52"/>
      <c r="H27" s="51"/>
      <c r="I27" s="80"/>
      <c r="J27" s="80"/>
      <c r="K27" s="81"/>
    </row>
    <row r="28" spans="1:11" ht="18.75" customHeight="1">
      <c r="A28" s="125"/>
      <c r="B28" s="57" t="s">
        <v>81</v>
      </c>
      <c r="C28" s="58"/>
      <c r="D28" s="58"/>
      <c r="E28" s="58"/>
      <c r="F28" s="58"/>
      <c r="G28" s="58"/>
      <c r="H28" s="58"/>
      <c r="I28" s="83"/>
      <c r="J28" s="83"/>
      <c r="K28" s="84"/>
    </row>
    <row r="29" spans="1:11" ht="26.25" customHeight="1">
      <c r="A29" s="126" t="s">
        <v>82</v>
      </c>
      <c r="B29" s="127"/>
      <c r="C29" s="61">
        <f t="shared" ref="C29:K29" si="1">COUNTA(C9:C28)</f>
        <v>10</v>
      </c>
      <c r="D29" s="61">
        <f t="shared" si="1"/>
        <v>16</v>
      </c>
      <c r="E29" s="61">
        <f t="shared" si="1"/>
        <v>9</v>
      </c>
      <c r="F29" s="61">
        <f t="shared" si="1"/>
        <v>0</v>
      </c>
      <c r="G29" s="61">
        <f t="shared" si="1"/>
        <v>0</v>
      </c>
      <c r="H29" s="61">
        <f t="shared" si="1"/>
        <v>0</v>
      </c>
      <c r="I29" s="61">
        <f t="shared" si="1"/>
        <v>0</v>
      </c>
      <c r="J29" s="61">
        <f t="shared" si="1"/>
        <v>0</v>
      </c>
      <c r="K29" s="62">
        <f t="shared" si="1"/>
        <v>0</v>
      </c>
    </row>
    <row r="30" spans="1:11" ht="26.25" customHeight="1">
      <c r="A30" s="128" t="s">
        <v>83</v>
      </c>
      <c r="B30" s="129"/>
      <c r="C30" s="63">
        <f>C8-C29</f>
        <v>0</v>
      </c>
      <c r="D30" s="63">
        <f>D8-D29</f>
        <v>0</v>
      </c>
      <c r="E30" s="63">
        <f>D30+E8-E29</f>
        <v>3</v>
      </c>
      <c r="F30" s="63">
        <f>E30+F8-F29</f>
        <v>17</v>
      </c>
      <c r="G30" s="63">
        <f>F8+G8-G29</f>
        <v>30</v>
      </c>
      <c r="H30" s="63">
        <f>G8+H8-H29</f>
        <v>34</v>
      </c>
      <c r="I30" s="63">
        <f>H8+I8-I29</f>
        <v>38</v>
      </c>
      <c r="J30" s="63">
        <f>I8+J8-J29</f>
        <v>40</v>
      </c>
      <c r="K30" s="63">
        <f>J8+K8-K29</f>
        <v>40</v>
      </c>
    </row>
    <row r="31" spans="1:11" s="65" customFormat="1" ht="18" customHeight="1">
      <c r="A31" s="130" t="s">
        <v>48</v>
      </c>
      <c r="B31" s="131"/>
      <c r="C31" s="66">
        <f t="shared" ref="C31:K31" si="2">C5</f>
        <v>45274</v>
      </c>
      <c r="D31" s="66">
        <f t="shared" si="2"/>
        <v>45640</v>
      </c>
      <c r="E31" s="66">
        <f t="shared" si="2"/>
        <v>46005</v>
      </c>
      <c r="F31" s="66">
        <f t="shared" si="2"/>
        <v>46370</v>
      </c>
      <c r="G31" s="66">
        <f t="shared" si="2"/>
        <v>46735</v>
      </c>
      <c r="H31" s="66">
        <f t="shared" si="2"/>
        <v>47101</v>
      </c>
      <c r="I31" s="66">
        <f t="shared" si="2"/>
        <v>47466</v>
      </c>
      <c r="J31" s="66">
        <f t="shared" si="2"/>
        <v>47831</v>
      </c>
      <c r="K31" s="66">
        <f t="shared" si="2"/>
        <v>48196</v>
      </c>
    </row>
    <row r="32" spans="1:11" s="65" customFormat="1" ht="18" customHeight="1">
      <c r="A32" s="118" t="s">
        <v>49</v>
      </c>
      <c r="B32" s="119"/>
      <c r="C32" s="66">
        <f t="shared" ref="C32:K32" si="3">C6</f>
        <v>46004</v>
      </c>
      <c r="D32" s="66">
        <f t="shared" si="3"/>
        <v>46369</v>
      </c>
      <c r="E32" s="66">
        <f t="shared" si="3"/>
        <v>46734</v>
      </c>
      <c r="F32" s="66">
        <f t="shared" si="3"/>
        <v>47100</v>
      </c>
      <c r="G32" s="66">
        <f t="shared" si="3"/>
        <v>47465</v>
      </c>
      <c r="H32" s="66">
        <f t="shared" si="3"/>
        <v>47830</v>
      </c>
      <c r="I32" s="66">
        <f t="shared" si="3"/>
        <v>48195</v>
      </c>
      <c r="J32" s="66">
        <f t="shared" si="3"/>
        <v>48561</v>
      </c>
      <c r="K32" s="66">
        <f t="shared" si="3"/>
        <v>48926</v>
      </c>
    </row>
    <row r="33" spans="1:11" ht="27" customHeight="1">
      <c r="A33" s="120" t="s">
        <v>84</v>
      </c>
      <c r="B33" s="121"/>
      <c r="C33" s="121"/>
      <c r="D33" s="121"/>
      <c r="E33" s="121"/>
      <c r="F33" s="121"/>
      <c r="G33" s="121"/>
      <c r="H33" s="121"/>
      <c r="I33" s="121"/>
      <c r="J33" s="121"/>
      <c r="K33" s="121"/>
    </row>
  </sheetData>
  <mergeCells count="12">
    <mergeCell ref="B2:C2"/>
    <mergeCell ref="B3:C3"/>
    <mergeCell ref="A5:B5"/>
    <mergeCell ref="A6:B6"/>
    <mergeCell ref="A7:B7"/>
    <mergeCell ref="A32:B32"/>
    <mergeCell ref="A33:K33"/>
    <mergeCell ref="A8:B8"/>
    <mergeCell ref="A9:A28"/>
    <mergeCell ref="A29:B29"/>
    <mergeCell ref="A30:B30"/>
    <mergeCell ref="A31:B31"/>
  </mergeCells>
  <phoneticPr fontId="31"/>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3"/>
  <sheetViews>
    <sheetView zoomScaleNormal="100" workbookViewId="0">
      <selection activeCell="E10" sqref="E10"/>
    </sheetView>
  </sheetViews>
  <sheetFormatPr defaultColWidth="8.125" defaultRowHeight="13.5" customHeight="1"/>
  <cols>
    <col min="1" max="1" width="18.875" style="29" customWidth="1"/>
    <col min="2" max="2" width="6.25" style="30" customWidth="1"/>
    <col min="3" max="11" width="11.25" style="29" customWidth="1"/>
    <col min="12" max="12" width="8.125" style="29" customWidth="1"/>
    <col min="13" max="16384" width="8.125" style="29"/>
  </cols>
  <sheetData>
    <row r="1" spans="1:11" ht="40.5" customHeight="1">
      <c r="A1" s="31" t="s">
        <v>45</v>
      </c>
    </row>
    <row r="2" spans="1:11" ht="19.5" customHeight="1">
      <c r="A2" s="32" t="s">
        <v>46</v>
      </c>
      <c r="B2" s="132" t="s">
        <v>98</v>
      </c>
      <c r="C2" s="133"/>
    </row>
    <row r="3" spans="1:11" ht="21" customHeight="1">
      <c r="A3" s="32" t="s">
        <v>4</v>
      </c>
      <c r="B3" s="134">
        <v>45748</v>
      </c>
      <c r="C3" s="133"/>
    </row>
    <row r="4" spans="1:11" ht="13.9" customHeight="1">
      <c r="A4" s="33"/>
      <c r="B4" s="34"/>
    </row>
    <row r="5" spans="1:11" ht="18.75" customHeight="1">
      <c r="A5" s="135" t="s">
        <v>48</v>
      </c>
      <c r="B5" s="131"/>
      <c r="C5" s="35">
        <f>DATE(YEAR($B$3),MONTH($B$3)+6,DAY($B$3))</f>
        <v>45931</v>
      </c>
      <c r="D5" s="35">
        <f t="shared" ref="D5:K5" si="0">DATE(YEAR(C5)+1,MONTH(C5),DAY(C5))</f>
        <v>46296</v>
      </c>
      <c r="E5" s="35">
        <f t="shared" si="0"/>
        <v>46661</v>
      </c>
      <c r="F5" s="35">
        <f t="shared" si="0"/>
        <v>47027</v>
      </c>
      <c r="G5" s="35">
        <f t="shared" si="0"/>
        <v>47392</v>
      </c>
      <c r="H5" s="35">
        <f t="shared" si="0"/>
        <v>47757</v>
      </c>
      <c r="I5" s="35">
        <f t="shared" si="0"/>
        <v>48122</v>
      </c>
      <c r="J5" s="35">
        <f t="shared" si="0"/>
        <v>48488</v>
      </c>
      <c r="K5" s="35">
        <f t="shared" si="0"/>
        <v>48853</v>
      </c>
    </row>
    <row r="6" spans="1:11" ht="18.75" customHeight="1">
      <c r="A6" s="136" t="s">
        <v>49</v>
      </c>
      <c r="B6" s="119"/>
      <c r="C6" s="36">
        <f>DATE(YEAR($C$5)+2,MONTH($C$5),DAY($C$5)-1)</f>
        <v>46660</v>
      </c>
      <c r="D6" s="36">
        <f>DATE(YEAR($D$5)+2,MONTH($D$5),DAY($D$5)-1)</f>
        <v>47026</v>
      </c>
      <c r="E6" s="36">
        <f>DATE(YEAR($E$5)+2,MONTH($E$5),DAY($E$5)-1)</f>
        <v>47391</v>
      </c>
      <c r="F6" s="36">
        <f>DATE(YEAR($F$5)+2,MONTH($F$5),DAY($F$5)-1)</f>
        <v>47756</v>
      </c>
      <c r="G6" s="36">
        <f>DATE(YEAR($G$5)+2,MONTH($G$5),DAY($G$5)-1)</f>
        <v>48121</v>
      </c>
      <c r="H6" s="36">
        <f>DATE(YEAR($H$5)+2,MONTH($H$5),DAY($H$5)-1)</f>
        <v>48487</v>
      </c>
      <c r="I6" s="36">
        <f>DATE(YEAR($I$5)+2,MONTH($I$5),DAY($I$5)-1)</f>
        <v>48852</v>
      </c>
      <c r="J6" s="36">
        <f>DATE(YEAR($J$5)+2,MONTH($J$5),DAY($J$5)-1)</f>
        <v>49217</v>
      </c>
      <c r="K6" s="37">
        <f>DATE(YEAR($K$5)+2,MONTH($K$5),DAY($K$5)-1)</f>
        <v>49582</v>
      </c>
    </row>
    <row r="7" spans="1:11" ht="18.75" customHeight="1">
      <c r="A7" s="136" t="s">
        <v>50</v>
      </c>
      <c r="B7" s="119"/>
      <c r="C7" s="38" t="s">
        <v>51</v>
      </c>
      <c r="D7" s="38" t="s">
        <v>52</v>
      </c>
      <c r="E7" s="38" t="s">
        <v>53</v>
      </c>
      <c r="F7" s="38" t="s">
        <v>54</v>
      </c>
      <c r="G7" s="38" t="s">
        <v>55</v>
      </c>
      <c r="H7" s="38" t="s">
        <v>56</v>
      </c>
      <c r="I7" s="38" t="s">
        <v>57</v>
      </c>
      <c r="J7" s="38" t="s">
        <v>58</v>
      </c>
      <c r="K7" s="39" t="s">
        <v>59</v>
      </c>
    </row>
    <row r="8" spans="1:11" ht="18.75" customHeight="1">
      <c r="A8" s="122" t="s">
        <v>60</v>
      </c>
      <c r="B8" s="123"/>
      <c r="C8" s="40">
        <v>10</v>
      </c>
      <c r="D8" s="40">
        <v>11</v>
      </c>
      <c r="E8" s="40">
        <v>12</v>
      </c>
      <c r="F8" s="40">
        <v>14</v>
      </c>
      <c r="G8" s="40">
        <v>16</v>
      </c>
      <c r="H8" s="40">
        <v>18</v>
      </c>
      <c r="I8" s="40">
        <v>20</v>
      </c>
      <c r="J8" s="40">
        <v>20</v>
      </c>
      <c r="K8" s="41">
        <v>20</v>
      </c>
    </row>
    <row r="9" spans="1:11" ht="18.75" customHeight="1">
      <c r="A9" s="124" t="s">
        <v>61</v>
      </c>
      <c r="B9" s="42" t="s">
        <v>62</v>
      </c>
      <c r="C9" s="70">
        <v>46135</v>
      </c>
      <c r="D9" s="70"/>
      <c r="E9" s="70"/>
      <c r="F9" s="71"/>
      <c r="G9" s="71"/>
      <c r="H9" s="71"/>
      <c r="I9" s="71"/>
      <c r="J9" s="71"/>
      <c r="K9" s="72"/>
    </row>
    <row r="10" spans="1:11" ht="18.75" customHeight="1">
      <c r="A10" s="125"/>
      <c r="B10" s="46" t="s">
        <v>63</v>
      </c>
      <c r="C10" s="74">
        <v>46136</v>
      </c>
      <c r="D10" s="74"/>
      <c r="E10" s="74"/>
      <c r="F10" s="75"/>
      <c r="G10" s="75"/>
      <c r="H10" s="75"/>
      <c r="I10" s="75"/>
      <c r="J10" s="75"/>
      <c r="K10" s="76"/>
    </row>
    <row r="11" spans="1:11" ht="18.75" customHeight="1">
      <c r="A11" s="125"/>
      <c r="B11" s="46" t="s">
        <v>64</v>
      </c>
      <c r="C11" s="74"/>
      <c r="D11" s="74"/>
      <c r="E11" s="74"/>
      <c r="F11" s="75"/>
      <c r="G11" s="75"/>
      <c r="H11" s="75"/>
      <c r="I11" s="75"/>
      <c r="J11" s="75"/>
      <c r="K11" s="76"/>
    </row>
    <row r="12" spans="1:11" ht="18.75" customHeight="1">
      <c r="A12" s="125"/>
      <c r="B12" s="46" t="s">
        <v>65</v>
      </c>
      <c r="C12" s="74"/>
      <c r="D12" s="74"/>
      <c r="E12" s="74"/>
      <c r="F12" s="75"/>
      <c r="G12" s="75"/>
      <c r="H12" s="75"/>
      <c r="I12" s="75"/>
      <c r="J12" s="75"/>
      <c r="K12" s="76"/>
    </row>
    <row r="13" spans="1:11" ht="18.75" customHeight="1">
      <c r="A13" s="125"/>
      <c r="B13" s="46" t="s">
        <v>66</v>
      </c>
      <c r="C13" s="74"/>
      <c r="D13" s="74"/>
      <c r="E13" s="74"/>
      <c r="F13" s="75"/>
      <c r="G13" s="75"/>
      <c r="H13" s="75"/>
      <c r="I13" s="75"/>
      <c r="J13" s="75"/>
      <c r="K13" s="76"/>
    </row>
    <row r="14" spans="1:11" ht="18.75" customHeight="1">
      <c r="A14" s="125"/>
      <c r="B14" s="46" t="s">
        <v>67</v>
      </c>
      <c r="C14" s="74"/>
      <c r="D14" s="74"/>
      <c r="E14" s="74"/>
      <c r="F14" s="75"/>
      <c r="G14" s="75"/>
      <c r="H14" s="75"/>
      <c r="I14" s="75"/>
      <c r="J14" s="75"/>
      <c r="K14" s="76"/>
    </row>
    <row r="15" spans="1:11" ht="18.75" customHeight="1">
      <c r="A15" s="125"/>
      <c r="B15" s="46" t="s">
        <v>68</v>
      </c>
      <c r="C15" s="74"/>
      <c r="D15" s="74"/>
      <c r="E15" s="74"/>
      <c r="F15" s="75"/>
      <c r="G15" s="75"/>
      <c r="H15" s="75"/>
      <c r="I15" s="75"/>
      <c r="J15" s="75"/>
      <c r="K15" s="76"/>
    </row>
    <row r="16" spans="1:11" ht="18.75" customHeight="1">
      <c r="A16" s="125"/>
      <c r="B16" s="46" t="s">
        <v>69</v>
      </c>
      <c r="C16" s="74"/>
      <c r="D16" s="74"/>
      <c r="E16" s="74"/>
      <c r="F16" s="75"/>
      <c r="G16" s="75"/>
      <c r="H16" s="75"/>
      <c r="I16" s="75"/>
      <c r="J16" s="75"/>
      <c r="K16" s="76"/>
    </row>
    <row r="17" spans="1:11" ht="18.75" customHeight="1">
      <c r="A17" s="125"/>
      <c r="B17" s="46" t="s">
        <v>70</v>
      </c>
      <c r="C17" s="74"/>
      <c r="D17" s="74"/>
      <c r="E17" s="74"/>
      <c r="F17" s="75"/>
      <c r="G17" s="75"/>
      <c r="H17" s="75"/>
      <c r="I17" s="75"/>
      <c r="J17" s="75"/>
      <c r="K17" s="76"/>
    </row>
    <row r="18" spans="1:11" ht="18.75" customHeight="1">
      <c r="A18" s="125"/>
      <c r="B18" s="46" t="s">
        <v>71</v>
      </c>
      <c r="C18" s="78"/>
      <c r="D18" s="74"/>
      <c r="E18" s="75"/>
      <c r="F18" s="75"/>
      <c r="G18" s="75"/>
      <c r="H18" s="75"/>
      <c r="I18" s="75"/>
      <c r="J18" s="75"/>
      <c r="K18" s="76"/>
    </row>
    <row r="19" spans="1:11" ht="18.75" customHeight="1">
      <c r="A19" s="125"/>
      <c r="B19" s="46" t="s">
        <v>72</v>
      </c>
      <c r="C19" s="51"/>
      <c r="D19" s="78"/>
      <c r="E19" s="75"/>
      <c r="F19" s="75"/>
      <c r="G19" s="75"/>
      <c r="H19" s="75"/>
      <c r="I19" s="75"/>
      <c r="J19" s="75"/>
      <c r="K19" s="76"/>
    </row>
    <row r="20" spans="1:11" ht="18.75" customHeight="1">
      <c r="A20" s="125"/>
      <c r="B20" s="46" t="s">
        <v>73</v>
      </c>
      <c r="C20" s="52"/>
      <c r="D20" s="51"/>
      <c r="E20" s="79"/>
      <c r="F20" s="75"/>
      <c r="G20" s="75"/>
      <c r="H20" s="75"/>
      <c r="I20" s="75"/>
      <c r="J20" s="75"/>
      <c r="K20" s="76"/>
    </row>
    <row r="21" spans="1:11" ht="18.75" customHeight="1">
      <c r="A21" s="125"/>
      <c r="B21" s="46" t="s">
        <v>74</v>
      </c>
      <c r="C21" s="52"/>
      <c r="D21" s="52"/>
      <c r="E21" s="51"/>
      <c r="F21" s="75"/>
      <c r="G21" s="75"/>
      <c r="H21" s="75"/>
      <c r="I21" s="75"/>
      <c r="J21" s="75"/>
      <c r="K21" s="76"/>
    </row>
    <row r="22" spans="1:11" ht="18.75" customHeight="1">
      <c r="A22" s="125"/>
      <c r="B22" s="46" t="s">
        <v>75</v>
      </c>
      <c r="C22" s="52"/>
      <c r="D22" s="52"/>
      <c r="E22" s="52"/>
      <c r="F22" s="79"/>
      <c r="G22" s="75"/>
      <c r="H22" s="75"/>
      <c r="I22" s="75"/>
      <c r="J22" s="75"/>
      <c r="K22" s="76"/>
    </row>
    <row r="23" spans="1:11" ht="18.75" customHeight="1">
      <c r="A23" s="125"/>
      <c r="B23" s="46" t="s">
        <v>76</v>
      </c>
      <c r="C23" s="52"/>
      <c r="D23" s="52"/>
      <c r="E23" s="52"/>
      <c r="F23" s="51"/>
      <c r="G23" s="80"/>
      <c r="H23" s="80"/>
      <c r="I23" s="80"/>
      <c r="J23" s="80"/>
      <c r="K23" s="81"/>
    </row>
    <row r="24" spans="1:11" ht="18.75" customHeight="1">
      <c r="A24" s="125"/>
      <c r="B24" s="46" t="s">
        <v>77</v>
      </c>
      <c r="C24" s="52"/>
      <c r="D24" s="52"/>
      <c r="E24" s="52"/>
      <c r="F24" s="52"/>
      <c r="G24" s="82"/>
      <c r="H24" s="80"/>
      <c r="I24" s="80"/>
      <c r="J24" s="80"/>
      <c r="K24" s="81"/>
    </row>
    <row r="25" spans="1:11" ht="18.75" customHeight="1">
      <c r="A25" s="125"/>
      <c r="B25" s="46" t="s">
        <v>78</v>
      </c>
      <c r="C25" s="52"/>
      <c r="D25" s="52"/>
      <c r="E25" s="52"/>
      <c r="F25" s="52"/>
      <c r="G25" s="51"/>
      <c r="H25" s="80"/>
      <c r="I25" s="80"/>
      <c r="J25" s="80"/>
      <c r="K25" s="81"/>
    </row>
    <row r="26" spans="1:11" ht="18.75" customHeight="1">
      <c r="A26" s="125"/>
      <c r="B26" s="46" t="s">
        <v>79</v>
      </c>
      <c r="C26" s="52"/>
      <c r="D26" s="52"/>
      <c r="E26" s="52"/>
      <c r="F26" s="52"/>
      <c r="G26" s="52"/>
      <c r="H26" s="82"/>
      <c r="I26" s="80"/>
      <c r="J26" s="80"/>
      <c r="K26" s="81"/>
    </row>
    <row r="27" spans="1:11" ht="18.75" customHeight="1">
      <c r="A27" s="125"/>
      <c r="B27" s="46" t="s">
        <v>80</v>
      </c>
      <c r="C27" s="52"/>
      <c r="D27" s="52"/>
      <c r="E27" s="52"/>
      <c r="F27" s="52"/>
      <c r="G27" s="52"/>
      <c r="H27" s="51"/>
      <c r="I27" s="80"/>
      <c r="J27" s="80"/>
      <c r="K27" s="81"/>
    </row>
    <row r="28" spans="1:11" ht="18.75" customHeight="1">
      <c r="A28" s="125"/>
      <c r="B28" s="57" t="s">
        <v>81</v>
      </c>
      <c r="C28" s="58"/>
      <c r="D28" s="58"/>
      <c r="E28" s="58"/>
      <c r="F28" s="58"/>
      <c r="G28" s="58"/>
      <c r="H28" s="58"/>
      <c r="I28" s="83"/>
      <c r="J28" s="83"/>
      <c r="K28" s="84"/>
    </row>
    <row r="29" spans="1:11" ht="26.25" customHeight="1">
      <c r="A29" s="126" t="s">
        <v>82</v>
      </c>
      <c r="B29" s="127"/>
      <c r="C29" s="61">
        <f t="shared" ref="C29:K29" si="1">COUNTA(C9:C28)</f>
        <v>2</v>
      </c>
      <c r="D29" s="61">
        <f t="shared" si="1"/>
        <v>0</v>
      </c>
      <c r="E29" s="61">
        <f t="shared" si="1"/>
        <v>0</v>
      </c>
      <c r="F29" s="61">
        <f t="shared" si="1"/>
        <v>0</v>
      </c>
      <c r="G29" s="61">
        <f t="shared" si="1"/>
        <v>0</v>
      </c>
      <c r="H29" s="61">
        <f t="shared" si="1"/>
        <v>0</v>
      </c>
      <c r="I29" s="61">
        <f t="shared" si="1"/>
        <v>0</v>
      </c>
      <c r="J29" s="61">
        <f t="shared" si="1"/>
        <v>0</v>
      </c>
      <c r="K29" s="62">
        <f t="shared" si="1"/>
        <v>0</v>
      </c>
    </row>
    <row r="30" spans="1:11" ht="26.25" customHeight="1">
      <c r="A30" s="128" t="s">
        <v>83</v>
      </c>
      <c r="B30" s="129"/>
      <c r="C30" s="63">
        <f>C8-C29</f>
        <v>8</v>
      </c>
      <c r="D30" s="63">
        <f>C30+D8-D29</f>
        <v>19</v>
      </c>
      <c r="E30" s="63">
        <f t="shared" ref="E30:K30" si="2">D8+E8-E29</f>
        <v>23</v>
      </c>
      <c r="F30" s="63">
        <f t="shared" si="2"/>
        <v>26</v>
      </c>
      <c r="G30" s="63">
        <f t="shared" si="2"/>
        <v>30</v>
      </c>
      <c r="H30" s="63">
        <f t="shared" si="2"/>
        <v>34</v>
      </c>
      <c r="I30" s="63">
        <f t="shared" si="2"/>
        <v>38</v>
      </c>
      <c r="J30" s="63">
        <f t="shared" si="2"/>
        <v>40</v>
      </c>
      <c r="K30" s="63">
        <f t="shared" si="2"/>
        <v>40</v>
      </c>
    </row>
    <row r="31" spans="1:11" s="65" customFormat="1" ht="18" customHeight="1">
      <c r="A31" s="130" t="s">
        <v>48</v>
      </c>
      <c r="B31" s="131"/>
      <c r="C31" s="66">
        <f t="shared" ref="C31:K31" si="3">C5</f>
        <v>45931</v>
      </c>
      <c r="D31" s="66">
        <f t="shared" si="3"/>
        <v>46296</v>
      </c>
      <c r="E31" s="66">
        <f t="shared" si="3"/>
        <v>46661</v>
      </c>
      <c r="F31" s="66">
        <f t="shared" si="3"/>
        <v>47027</v>
      </c>
      <c r="G31" s="66">
        <f t="shared" si="3"/>
        <v>47392</v>
      </c>
      <c r="H31" s="66">
        <f t="shared" si="3"/>
        <v>47757</v>
      </c>
      <c r="I31" s="66">
        <f t="shared" si="3"/>
        <v>48122</v>
      </c>
      <c r="J31" s="66">
        <f t="shared" si="3"/>
        <v>48488</v>
      </c>
      <c r="K31" s="66">
        <f t="shared" si="3"/>
        <v>48853</v>
      </c>
    </row>
    <row r="32" spans="1:11" s="65" customFormat="1" ht="18" customHeight="1">
      <c r="A32" s="118" t="s">
        <v>49</v>
      </c>
      <c r="B32" s="119"/>
      <c r="C32" s="66">
        <f t="shared" ref="C32:K32" si="4">C6</f>
        <v>46660</v>
      </c>
      <c r="D32" s="66">
        <f t="shared" si="4"/>
        <v>47026</v>
      </c>
      <c r="E32" s="66">
        <f t="shared" si="4"/>
        <v>47391</v>
      </c>
      <c r="F32" s="66">
        <f t="shared" si="4"/>
        <v>47756</v>
      </c>
      <c r="G32" s="66">
        <f t="shared" si="4"/>
        <v>48121</v>
      </c>
      <c r="H32" s="66">
        <f t="shared" si="4"/>
        <v>48487</v>
      </c>
      <c r="I32" s="66">
        <f t="shared" si="4"/>
        <v>48852</v>
      </c>
      <c r="J32" s="66">
        <f t="shared" si="4"/>
        <v>49217</v>
      </c>
      <c r="K32" s="66">
        <f t="shared" si="4"/>
        <v>49582</v>
      </c>
    </row>
    <row r="33" spans="1:11" ht="27" customHeight="1">
      <c r="A33" s="120" t="s">
        <v>84</v>
      </c>
      <c r="B33" s="121"/>
      <c r="C33" s="121"/>
      <c r="D33" s="121"/>
      <c r="E33" s="121"/>
      <c r="F33" s="121"/>
      <c r="G33" s="121"/>
      <c r="H33" s="121"/>
      <c r="I33" s="121"/>
      <c r="J33" s="121"/>
      <c r="K33" s="121"/>
    </row>
  </sheetData>
  <mergeCells count="12">
    <mergeCell ref="B2:C2"/>
    <mergeCell ref="B3:C3"/>
    <mergeCell ref="A5:B5"/>
    <mergeCell ref="A6:B6"/>
    <mergeCell ref="A7:B7"/>
    <mergeCell ref="A32:B32"/>
    <mergeCell ref="A33:K33"/>
    <mergeCell ref="A8:B8"/>
    <mergeCell ref="A9:A28"/>
    <mergeCell ref="A29:B29"/>
    <mergeCell ref="A30:B30"/>
    <mergeCell ref="A31:B31"/>
  </mergeCells>
  <phoneticPr fontId="3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3"/>
  <sheetViews>
    <sheetView zoomScale="90" zoomScaleNormal="90" workbookViewId="0">
      <selection activeCell="E19" sqref="E19"/>
    </sheetView>
  </sheetViews>
  <sheetFormatPr defaultColWidth="8.125" defaultRowHeight="13.5" customHeight="1"/>
  <cols>
    <col min="1" max="1" width="18.875" style="29" customWidth="1"/>
    <col min="2" max="2" width="6.25" style="30" customWidth="1"/>
    <col min="3" max="3" width="12.5" style="29" customWidth="1"/>
    <col min="4" max="4" width="13" style="29" customWidth="1"/>
    <col min="5" max="11" width="12.5" style="29" customWidth="1"/>
    <col min="12" max="12" width="8.125" style="29" customWidth="1"/>
    <col min="13" max="16384" width="8.125" style="29"/>
  </cols>
  <sheetData>
    <row r="1" spans="1:11" ht="40.5" customHeight="1">
      <c r="A1" s="31" t="s">
        <v>45</v>
      </c>
    </row>
    <row r="2" spans="1:11" ht="19.5" customHeight="1">
      <c r="A2" s="32" t="s">
        <v>46</v>
      </c>
      <c r="B2" s="132" t="s">
        <v>99</v>
      </c>
      <c r="C2" s="133"/>
    </row>
    <row r="3" spans="1:11" ht="21" customHeight="1">
      <c r="A3" s="32" t="s">
        <v>4</v>
      </c>
      <c r="B3" s="134">
        <v>45091</v>
      </c>
      <c r="C3" s="133"/>
      <c r="D3" s="102" t="s">
        <v>97</v>
      </c>
    </row>
    <row r="4" spans="1:11" ht="13.9" customHeight="1">
      <c r="A4" s="33"/>
      <c r="B4" s="34"/>
    </row>
    <row r="5" spans="1:11" ht="18.75" customHeight="1">
      <c r="A5" s="135" t="s">
        <v>48</v>
      </c>
      <c r="B5" s="131"/>
      <c r="C5" s="35">
        <f>DATE(YEAR($B$3),MONTH($B$3)+6,DAY($B$3))</f>
        <v>45274</v>
      </c>
      <c r="D5" s="35">
        <f t="shared" ref="D5:K5" si="0">DATE(YEAR(C5)+1,MONTH(C5),DAY(C5))</f>
        <v>45640</v>
      </c>
      <c r="E5" s="35">
        <f t="shared" si="0"/>
        <v>46005</v>
      </c>
      <c r="F5" s="35">
        <f t="shared" si="0"/>
        <v>46370</v>
      </c>
      <c r="G5" s="35">
        <f t="shared" si="0"/>
        <v>46735</v>
      </c>
      <c r="H5" s="35">
        <f t="shared" si="0"/>
        <v>47101</v>
      </c>
      <c r="I5" s="35">
        <f t="shared" si="0"/>
        <v>47466</v>
      </c>
      <c r="J5" s="35">
        <f t="shared" si="0"/>
        <v>47831</v>
      </c>
      <c r="K5" s="35">
        <f t="shared" si="0"/>
        <v>48196</v>
      </c>
    </row>
    <row r="6" spans="1:11" ht="18.75" customHeight="1">
      <c r="A6" s="136" t="s">
        <v>49</v>
      </c>
      <c r="B6" s="119"/>
      <c r="C6" s="36">
        <f>DATE(YEAR($C$5)+2,MONTH($C$5),DAY($C$5)-1)</f>
        <v>46004</v>
      </c>
      <c r="D6" s="36">
        <f>DATE(YEAR($D$5)+2,MONTH($D$5),DAY($D$5)-1)</f>
        <v>46369</v>
      </c>
      <c r="E6" s="36">
        <f>DATE(YEAR($E$5)+2,MONTH($E$5),DAY($E$5)-1)</f>
        <v>46734</v>
      </c>
      <c r="F6" s="36">
        <f>DATE(YEAR($F$5)+2,MONTH($F$5),DAY($F$5)-1)</f>
        <v>47100</v>
      </c>
      <c r="G6" s="36">
        <f>DATE(YEAR($G$5)+2,MONTH($G$5),DAY($G$5)-1)</f>
        <v>47465</v>
      </c>
      <c r="H6" s="36">
        <f>DATE(YEAR($H$5)+2,MONTH($H$5),DAY($H$5)-1)</f>
        <v>47830</v>
      </c>
      <c r="I6" s="36">
        <f>DATE(YEAR($I$5)+2,MONTH($I$5),DAY($I$5)-1)</f>
        <v>48195</v>
      </c>
      <c r="J6" s="36">
        <f>DATE(YEAR($J$5)+2,MONTH($J$5),DAY($J$5)-1)</f>
        <v>48561</v>
      </c>
      <c r="K6" s="37">
        <f>DATE(YEAR($K$5)+2,MONTH($K$5),DAY($K$5)-1)</f>
        <v>48926</v>
      </c>
    </row>
    <row r="7" spans="1:11" ht="18.75" customHeight="1">
      <c r="A7" s="136" t="s">
        <v>50</v>
      </c>
      <c r="B7" s="119"/>
      <c r="C7" s="38" t="s">
        <v>51</v>
      </c>
      <c r="D7" s="38" t="s">
        <v>52</v>
      </c>
      <c r="E7" s="38" t="s">
        <v>53</v>
      </c>
      <c r="F7" s="38" t="s">
        <v>54</v>
      </c>
      <c r="G7" s="38" t="s">
        <v>55</v>
      </c>
      <c r="H7" s="38" t="s">
        <v>56</v>
      </c>
      <c r="I7" s="38" t="s">
        <v>57</v>
      </c>
      <c r="J7" s="38" t="s">
        <v>58</v>
      </c>
      <c r="K7" s="39" t="s">
        <v>59</v>
      </c>
    </row>
    <row r="8" spans="1:11" ht="18.75" customHeight="1">
      <c r="A8" s="122" t="s">
        <v>60</v>
      </c>
      <c r="B8" s="123"/>
      <c r="C8" s="40">
        <v>10</v>
      </c>
      <c r="D8" s="103">
        <v>16</v>
      </c>
      <c r="E8" s="40">
        <v>12</v>
      </c>
      <c r="F8" s="40">
        <v>14</v>
      </c>
      <c r="G8" s="40">
        <v>16</v>
      </c>
      <c r="H8" s="40">
        <v>18</v>
      </c>
      <c r="I8" s="40">
        <v>20</v>
      </c>
      <c r="J8" s="40">
        <v>20</v>
      </c>
      <c r="K8" s="41">
        <v>20</v>
      </c>
    </row>
    <row r="9" spans="1:11" ht="18.75" customHeight="1">
      <c r="A9" s="124" t="s">
        <v>61</v>
      </c>
      <c r="B9" s="42" t="s">
        <v>62</v>
      </c>
      <c r="C9" s="70">
        <v>45341</v>
      </c>
      <c r="D9" s="90">
        <v>45817</v>
      </c>
      <c r="E9" s="70"/>
      <c r="F9" s="71"/>
      <c r="G9" s="71"/>
      <c r="H9" s="71"/>
      <c r="I9" s="71"/>
      <c r="J9" s="71"/>
      <c r="K9" s="72"/>
    </row>
    <row r="10" spans="1:11" ht="18.75" customHeight="1">
      <c r="A10" s="125"/>
      <c r="B10" s="46" t="s">
        <v>63</v>
      </c>
      <c r="C10" s="74">
        <v>45391</v>
      </c>
      <c r="D10" s="74">
        <v>45818</v>
      </c>
      <c r="E10" s="74"/>
      <c r="F10" s="75"/>
      <c r="G10" s="75"/>
      <c r="H10" s="75"/>
      <c r="I10" s="75"/>
      <c r="J10" s="75"/>
      <c r="K10" s="76"/>
    </row>
    <row r="11" spans="1:11" ht="18.75" customHeight="1">
      <c r="A11" s="125"/>
      <c r="B11" s="46" t="s">
        <v>64</v>
      </c>
      <c r="C11" s="74">
        <v>45392</v>
      </c>
      <c r="D11" s="74">
        <v>45873</v>
      </c>
      <c r="E11" s="74"/>
      <c r="F11" s="75"/>
      <c r="G11" s="75"/>
      <c r="H11" s="75"/>
      <c r="I11" s="75"/>
      <c r="J11" s="75"/>
      <c r="K11" s="76"/>
    </row>
    <row r="12" spans="1:11" ht="18.75" customHeight="1">
      <c r="A12" s="125"/>
      <c r="B12" s="46" t="s">
        <v>65</v>
      </c>
      <c r="C12" s="74">
        <v>45393</v>
      </c>
      <c r="D12" s="74">
        <v>45876</v>
      </c>
      <c r="E12" s="74"/>
      <c r="F12" s="75"/>
      <c r="G12" s="75"/>
      <c r="H12" s="75"/>
      <c r="I12" s="75"/>
      <c r="J12" s="75"/>
      <c r="K12" s="76"/>
    </row>
    <row r="13" spans="1:11" ht="18.75" customHeight="1">
      <c r="A13" s="125"/>
      <c r="B13" s="46" t="s">
        <v>66</v>
      </c>
      <c r="C13" s="91">
        <v>45618</v>
      </c>
      <c r="D13" s="74">
        <v>46135</v>
      </c>
      <c r="E13" s="74"/>
      <c r="F13" s="75"/>
      <c r="G13" s="75"/>
      <c r="H13" s="75"/>
      <c r="I13" s="75"/>
      <c r="J13" s="75"/>
      <c r="K13" s="76"/>
    </row>
    <row r="14" spans="1:11" ht="18.75" customHeight="1">
      <c r="A14" s="125"/>
      <c r="B14" s="46" t="s">
        <v>67</v>
      </c>
      <c r="C14" s="74">
        <v>45747</v>
      </c>
      <c r="D14" s="90">
        <v>46136</v>
      </c>
      <c r="E14" s="74"/>
      <c r="F14" s="75"/>
      <c r="G14" s="75"/>
      <c r="H14" s="75"/>
      <c r="I14" s="75"/>
      <c r="J14" s="75"/>
      <c r="K14" s="76"/>
    </row>
    <row r="15" spans="1:11" ht="18.75" customHeight="1">
      <c r="A15" s="125"/>
      <c r="B15" s="46" t="s">
        <v>68</v>
      </c>
      <c r="C15" s="74">
        <v>45748</v>
      </c>
      <c r="D15" s="74">
        <v>46146</v>
      </c>
      <c r="E15" s="74"/>
      <c r="F15" s="75"/>
      <c r="G15" s="75"/>
      <c r="H15" s="75"/>
      <c r="I15" s="75"/>
      <c r="J15" s="75"/>
      <c r="K15" s="76"/>
    </row>
    <row r="16" spans="1:11" ht="18.75" customHeight="1">
      <c r="A16" s="125"/>
      <c r="B16" s="46" t="s">
        <v>69</v>
      </c>
      <c r="C16" s="74">
        <v>45770</v>
      </c>
      <c r="D16" s="74">
        <v>46147</v>
      </c>
      <c r="E16" s="74"/>
      <c r="F16" s="75"/>
      <c r="G16" s="75"/>
      <c r="H16" s="75"/>
      <c r="I16" s="75"/>
      <c r="J16" s="75"/>
      <c r="K16" s="76"/>
    </row>
    <row r="17" spans="1:11" ht="18.75" customHeight="1">
      <c r="A17" s="125"/>
      <c r="B17" s="46" t="s">
        <v>70</v>
      </c>
      <c r="C17" s="74">
        <v>45771</v>
      </c>
      <c r="D17" s="74">
        <v>46148</v>
      </c>
      <c r="E17" s="74"/>
      <c r="F17" s="75"/>
      <c r="G17" s="75"/>
      <c r="H17" s="75"/>
      <c r="I17" s="75"/>
      <c r="J17" s="75"/>
      <c r="K17" s="76"/>
    </row>
    <row r="18" spans="1:11" ht="18.75" customHeight="1">
      <c r="A18" s="125"/>
      <c r="B18" s="46" t="s">
        <v>71</v>
      </c>
      <c r="C18" s="78">
        <v>45772</v>
      </c>
      <c r="D18" s="74">
        <v>46163</v>
      </c>
      <c r="E18" s="75"/>
      <c r="F18" s="75"/>
      <c r="G18" s="75"/>
      <c r="H18" s="75"/>
      <c r="I18" s="75"/>
      <c r="J18" s="75"/>
      <c r="K18" s="76"/>
    </row>
    <row r="19" spans="1:11" ht="18.75" customHeight="1">
      <c r="A19" s="125"/>
      <c r="B19" s="46" t="s">
        <v>72</v>
      </c>
      <c r="C19" s="51"/>
      <c r="D19" s="74">
        <v>46164</v>
      </c>
      <c r="E19" s="75"/>
      <c r="F19" s="75"/>
      <c r="G19" s="75"/>
      <c r="H19" s="75"/>
      <c r="I19" s="75"/>
      <c r="J19" s="75"/>
      <c r="K19" s="76"/>
    </row>
    <row r="20" spans="1:11" ht="18.75" customHeight="1">
      <c r="A20" s="125"/>
      <c r="B20" s="46" t="s">
        <v>73</v>
      </c>
      <c r="C20" s="52"/>
      <c r="D20" s="109">
        <v>46167</v>
      </c>
      <c r="E20" s="79"/>
      <c r="F20" s="75"/>
      <c r="G20" s="75"/>
      <c r="H20" s="75"/>
      <c r="I20" s="75"/>
      <c r="J20" s="75"/>
      <c r="K20" s="76"/>
    </row>
    <row r="21" spans="1:11" ht="18.75" customHeight="1">
      <c r="A21" s="125"/>
      <c r="B21" s="46" t="s">
        <v>74</v>
      </c>
      <c r="C21" s="52"/>
      <c r="D21" s="109">
        <v>46168</v>
      </c>
      <c r="E21" s="51"/>
      <c r="F21" s="75"/>
      <c r="G21" s="75"/>
      <c r="H21" s="75"/>
      <c r="I21" s="75"/>
      <c r="J21" s="75"/>
      <c r="K21" s="76"/>
    </row>
    <row r="22" spans="1:11" ht="18.75" customHeight="1">
      <c r="A22" s="125"/>
      <c r="B22" s="46" t="s">
        <v>75</v>
      </c>
      <c r="C22" s="52"/>
      <c r="D22" s="109">
        <v>46169</v>
      </c>
      <c r="E22" s="52"/>
      <c r="F22" s="79"/>
      <c r="G22" s="75"/>
      <c r="H22" s="75"/>
      <c r="I22" s="75"/>
      <c r="J22" s="75"/>
      <c r="K22" s="76"/>
    </row>
    <row r="23" spans="1:11" ht="18.75" customHeight="1">
      <c r="A23" s="125"/>
      <c r="B23" s="46" t="s">
        <v>76</v>
      </c>
      <c r="C23" s="52"/>
      <c r="D23" s="109">
        <v>46170</v>
      </c>
      <c r="E23" s="52"/>
      <c r="F23" s="51"/>
      <c r="G23" s="80"/>
      <c r="H23" s="80"/>
      <c r="I23" s="80"/>
      <c r="J23" s="80"/>
      <c r="K23" s="81"/>
    </row>
    <row r="24" spans="1:11" ht="18.75" customHeight="1">
      <c r="A24" s="125"/>
      <c r="B24" s="46" t="s">
        <v>77</v>
      </c>
      <c r="C24" s="52"/>
      <c r="D24" s="110">
        <v>46171</v>
      </c>
      <c r="E24" s="52"/>
      <c r="F24" s="52"/>
      <c r="G24" s="82"/>
      <c r="H24" s="80"/>
      <c r="I24" s="80"/>
      <c r="J24" s="80"/>
      <c r="K24" s="81"/>
    </row>
    <row r="25" spans="1:11" ht="18.75" customHeight="1">
      <c r="A25" s="125"/>
      <c r="B25" s="46" t="s">
        <v>78</v>
      </c>
      <c r="C25" s="52"/>
      <c r="D25" s="111"/>
      <c r="E25" s="52"/>
      <c r="F25" s="52"/>
      <c r="G25" s="51"/>
      <c r="H25" s="80"/>
      <c r="I25" s="80"/>
      <c r="J25" s="80"/>
      <c r="K25" s="81"/>
    </row>
    <row r="26" spans="1:11" ht="18.75" customHeight="1">
      <c r="A26" s="125"/>
      <c r="B26" s="46" t="s">
        <v>79</v>
      </c>
      <c r="C26" s="52"/>
      <c r="D26" s="52"/>
      <c r="E26" s="52"/>
      <c r="F26" s="52"/>
      <c r="G26" s="52"/>
      <c r="H26" s="82"/>
      <c r="I26" s="80"/>
      <c r="J26" s="80"/>
      <c r="K26" s="81"/>
    </row>
    <row r="27" spans="1:11" ht="18.75" customHeight="1">
      <c r="A27" s="125"/>
      <c r="B27" s="46" t="s">
        <v>80</v>
      </c>
      <c r="C27" s="52"/>
      <c r="D27" s="52"/>
      <c r="E27" s="52"/>
      <c r="F27" s="52"/>
      <c r="G27" s="52"/>
      <c r="H27" s="51"/>
      <c r="I27" s="80"/>
      <c r="J27" s="80"/>
      <c r="K27" s="81"/>
    </row>
    <row r="28" spans="1:11" ht="18.75" customHeight="1">
      <c r="A28" s="125"/>
      <c r="B28" s="57" t="s">
        <v>81</v>
      </c>
      <c r="C28" s="58"/>
      <c r="D28" s="58"/>
      <c r="E28" s="58"/>
      <c r="F28" s="58"/>
      <c r="G28" s="58"/>
      <c r="H28" s="58"/>
      <c r="I28" s="83"/>
      <c r="J28" s="83"/>
      <c r="K28" s="84"/>
    </row>
    <row r="29" spans="1:11" ht="26.25" customHeight="1">
      <c r="A29" s="126" t="s">
        <v>82</v>
      </c>
      <c r="B29" s="127"/>
      <c r="C29" s="61">
        <f t="shared" ref="C29:K29" si="1">COUNTA(C9:C28)</f>
        <v>10</v>
      </c>
      <c r="D29" s="61">
        <f t="shared" si="1"/>
        <v>16</v>
      </c>
      <c r="E29" s="61">
        <f t="shared" si="1"/>
        <v>0</v>
      </c>
      <c r="F29" s="61">
        <f t="shared" si="1"/>
        <v>0</v>
      </c>
      <c r="G29" s="61">
        <f t="shared" si="1"/>
        <v>0</v>
      </c>
      <c r="H29" s="61">
        <f t="shared" si="1"/>
        <v>0</v>
      </c>
      <c r="I29" s="61">
        <f t="shared" si="1"/>
        <v>0</v>
      </c>
      <c r="J29" s="61">
        <f t="shared" si="1"/>
        <v>0</v>
      </c>
      <c r="K29" s="62">
        <f t="shared" si="1"/>
        <v>0</v>
      </c>
    </row>
    <row r="30" spans="1:11" ht="26.25" customHeight="1">
      <c r="A30" s="128" t="s">
        <v>83</v>
      </c>
      <c r="B30" s="129"/>
      <c r="C30" s="63">
        <f>C8-C29</f>
        <v>0</v>
      </c>
      <c r="D30" s="63">
        <f>C30+D8-D29</f>
        <v>0</v>
      </c>
      <c r="E30" s="63">
        <f>D30+E8-E29</f>
        <v>12</v>
      </c>
      <c r="F30" s="63">
        <f t="shared" ref="F30:K30" si="2">E8+F8-F29</f>
        <v>26</v>
      </c>
      <c r="G30" s="63">
        <f t="shared" si="2"/>
        <v>30</v>
      </c>
      <c r="H30" s="63">
        <f t="shared" si="2"/>
        <v>34</v>
      </c>
      <c r="I30" s="63">
        <f t="shared" si="2"/>
        <v>38</v>
      </c>
      <c r="J30" s="63">
        <f t="shared" si="2"/>
        <v>40</v>
      </c>
      <c r="K30" s="63">
        <f t="shared" si="2"/>
        <v>40</v>
      </c>
    </row>
    <row r="31" spans="1:11" s="65" customFormat="1" ht="18" customHeight="1">
      <c r="A31" s="130" t="s">
        <v>48</v>
      </c>
      <c r="B31" s="131"/>
      <c r="C31" s="66">
        <f t="shared" ref="C31:K31" si="3">C5</f>
        <v>45274</v>
      </c>
      <c r="D31" s="66">
        <f t="shared" si="3"/>
        <v>45640</v>
      </c>
      <c r="E31" s="66">
        <f t="shared" si="3"/>
        <v>46005</v>
      </c>
      <c r="F31" s="66">
        <f t="shared" si="3"/>
        <v>46370</v>
      </c>
      <c r="G31" s="66">
        <f t="shared" si="3"/>
        <v>46735</v>
      </c>
      <c r="H31" s="66">
        <f t="shared" si="3"/>
        <v>47101</v>
      </c>
      <c r="I31" s="66">
        <f t="shared" si="3"/>
        <v>47466</v>
      </c>
      <c r="J31" s="66">
        <f t="shared" si="3"/>
        <v>47831</v>
      </c>
      <c r="K31" s="66">
        <f t="shared" si="3"/>
        <v>48196</v>
      </c>
    </row>
    <row r="32" spans="1:11" s="65" customFormat="1" ht="18" customHeight="1">
      <c r="A32" s="118" t="s">
        <v>49</v>
      </c>
      <c r="B32" s="119"/>
      <c r="C32" s="66">
        <f t="shared" ref="C32:K32" si="4">C6</f>
        <v>46004</v>
      </c>
      <c r="D32" s="66">
        <f t="shared" si="4"/>
        <v>46369</v>
      </c>
      <c r="E32" s="66">
        <f t="shared" si="4"/>
        <v>46734</v>
      </c>
      <c r="F32" s="66">
        <f t="shared" si="4"/>
        <v>47100</v>
      </c>
      <c r="G32" s="66">
        <f t="shared" si="4"/>
        <v>47465</v>
      </c>
      <c r="H32" s="66">
        <f t="shared" si="4"/>
        <v>47830</v>
      </c>
      <c r="I32" s="66">
        <f t="shared" si="4"/>
        <v>48195</v>
      </c>
      <c r="J32" s="66">
        <f t="shared" si="4"/>
        <v>48561</v>
      </c>
      <c r="K32" s="66">
        <f t="shared" si="4"/>
        <v>48926</v>
      </c>
    </row>
    <row r="33" spans="1:11" ht="27" customHeight="1">
      <c r="A33" s="120" t="s">
        <v>84</v>
      </c>
      <c r="B33" s="121"/>
      <c r="C33" s="121"/>
      <c r="D33" s="121"/>
      <c r="E33" s="121"/>
      <c r="F33" s="121"/>
      <c r="G33" s="121"/>
      <c r="H33" s="121"/>
      <c r="I33" s="121"/>
      <c r="J33" s="121"/>
      <c r="K33" s="121"/>
    </row>
  </sheetData>
  <mergeCells count="12">
    <mergeCell ref="B2:C2"/>
    <mergeCell ref="B3:C3"/>
    <mergeCell ref="A5:B5"/>
    <mergeCell ref="A6:B6"/>
    <mergeCell ref="A7:B7"/>
    <mergeCell ref="A32:B32"/>
    <mergeCell ref="A33:K33"/>
    <mergeCell ref="A8:B8"/>
    <mergeCell ref="A9:A28"/>
    <mergeCell ref="A29:B29"/>
    <mergeCell ref="A30:B30"/>
    <mergeCell ref="A31:B31"/>
  </mergeCells>
  <phoneticPr fontId="3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3"/>
  <sheetViews>
    <sheetView zoomScaleNormal="100" workbookViewId="0">
      <selection activeCell="D24" sqref="D24"/>
    </sheetView>
  </sheetViews>
  <sheetFormatPr defaultColWidth="8.125" defaultRowHeight="13.5" customHeight="1"/>
  <cols>
    <col min="1" max="1" width="18.875" style="29" customWidth="1"/>
    <col min="2" max="2" width="6.25" style="30" customWidth="1"/>
    <col min="3" max="11" width="11.25" style="29" customWidth="1"/>
    <col min="12" max="12" width="8.125" style="29" customWidth="1"/>
    <col min="13" max="16384" width="8.125" style="29"/>
  </cols>
  <sheetData>
    <row r="1" spans="1:11" ht="40.5" customHeight="1">
      <c r="A1" s="31" t="s">
        <v>45</v>
      </c>
    </row>
    <row r="2" spans="1:11" ht="19.5" customHeight="1">
      <c r="A2" s="32" t="s">
        <v>46</v>
      </c>
      <c r="B2" s="155" t="s">
        <v>100</v>
      </c>
      <c r="C2" s="156"/>
      <c r="D2" s="133"/>
    </row>
    <row r="3" spans="1:11" ht="21" customHeight="1">
      <c r="A3" s="32" t="s">
        <v>4</v>
      </c>
      <c r="B3" s="134">
        <v>45748</v>
      </c>
      <c r="C3" s="156"/>
      <c r="D3" s="133"/>
    </row>
    <row r="4" spans="1:11" ht="13.9" customHeight="1">
      <c r="A4" s="33"/>
      <c r="B4" s="34"/>
    </row>
    <row r="5" spans="1:11" ht="18.75" customHeight="1">
      <c r="A5" s="135" t="s">
        <v>48</v>
      </c>
      <c r="B5" s="131"/>
      <c r="C5" s="35">
        <f>DATE(YEAR($B$3),MONTH($B$3)+6,DAY($B$3))</f>
        <v>45931</v>
      </c>
      <c r="D5" s="35">
        <f t="shared" ref="D5:K5" si="0">DATE(YEAR(C5)+1,MONTH(C5),DAY(C5))</f>
        <v>46296</v>
      </c>
      <c r="E5" s="35">
        <f t="shared" si="0"/>
        <v>46661</v>
      </c>
      <c r="F5" s="35">
        <f t="shared" si="0"/>
        <v>47027</v>
      </c>
      <c r="G5" s="35">
        <f t="shared" si="0"/>
        <v>47392</v>
      </c>
      <c r="H5" s="35">
        <f t="shared" si="0"/>
        <v>47757</v>
      </c>
      <c r="I5" s="35">
        <f t="shared" si="0"/>
        <v>48122</v>
      </c>
      <c r="J5" s="35">
        <f t="shared" si="0"/>
        <v>48488</v>
      </c>
      <c r="K5" s="35">
        <f t="shared" si="0"/>
        <v>48853</v>
      </c>
    </row>
    <row r="6" spans="1:11" ht="18.75" customHeight="1">
      <c r="A6" s="136" t="s">
        <v>49</v>
      </c>
      <c r="B6" s="119"/>
      <c r="C6" s="36">
        <f>DATE(YEAR($C$5)+2,MONTH($C$5),DAY($C$5)-1)</f>
        <v>46660</v>
      </c>
      <c r="D6" s="36">
        <f>DATE(YEAR($D$5)+2,MONTH($D$5),DAY($D$5)-1)</f>
        <v>47026</v>
      </c>
      <c r="E6" s="36">
        <f>DATE(YEAR($E$5)+2,MONTH($E$5),DAY($E$5)-1)</f>
        <v>47391</v>
      </c>
      <c r="F6" s="36">
        <f>DATE(YEAR($F$5)+2,MONTH($F$5),DAY($F$5)-1)</f>
        <v>47756</v>
      </c>
      <c r="G6" s="36">
        <f>DATE(YEAR($G$5)+2,MONTH($G$5),DAY($G$5)-1)</f>
        <v>48121</v>
      </c>
      <c r="H6" s="36">
        <f>DATE(YEAR($H$5)+2,MONTH($H$5),DAY($H$5)-1)</f>
        <v>48487</v>
      </c>
      <c r="I6" s="36">
        <f>DATE(YEAR($I$5)+2,MONTH($I$5),DAY($I$5)-1)</f>
        <v>48852</v>
      </c>
      <c r="J6" s="36">
        <f>DATE(YEAR($J$5)+2,MONTH($J$5),DAY($J$5)-1)</f>
        <v>49217</v>
      </c>
      <c r="K6" s="37">
        <f>DATE(YEAR($K$5)+2,MONTH($K$5),DAY($K$5)-1)</f>
        <v>49582</v>
      </c>
    </row>
    <row r="7" spans="1:11" ht="18.75" customHeight="1">
      <c r="A7" s="136" t="s">
        <v>50</v>
      </c>
      <c r="B7" s="119"/>
      <c r="C7" s="38" t="s">
        <v>51</v>
      </c>
      <c r="D7" s="38" t="s">
        <v>52</v>
      </c>
      <c r="E7" s="38" t="s">
        <v>53</v>
      </c>
      <c r="F7" s="38" t="s">
        <v>54</v>
      </c>
      <c r="G7" s="38" t="s">
        <v>55</v>
      </c>
      <c r="H7" s="38" t="s">
        <v>56</v>
      </c>
      <c r="I7" s="38" t="s">
        <v>57</v>
      </c>
      <c r="J7" s="38" t="s">
        <v>58</v>
      </c>
      <c r="K7" s="39" t="s">
        <v>59</v>
      </c>
    </row>
    <row r="8" spans="1:11" ht="18.75" customHeight="1">
      <c r="A8" s="122" t="s">
        <v>60</v>
      </c>
      <c r="B8" s="123"/>
      <c r="C8" s="40">
        <v>10</v>
      </c>
      <c r="D8" s="40">
        <v>11</v>
      </c>
      <c r="E8" s="40">
        <v>12</v>
      </c>
      <c r="F8" s="40">
        <v>14</v>
      </c>
      <c r="G8" s="40">
        <v>16</v>
      </c>
      <c r="H8" s="40">
        <v>18</v>
      </c>
      <c r="I8" s="40">
        <v>20</v>
      </c>
      <c r="J8" s="40">
        <v>20</v>
      </c>
      <c r="K8" s="41">
        <v>20</v>
      </c>
    </row>
    <row r="9" spans="1:11" ht="18.75" customHeight="1">
      <c r="A9" s="124" t="s">
        <v>61</v>
      </c>
      <c r="B9" s="42" t="s">
        <v>62</v>
      </c>
      <c r="C9" s="70">
        <v>46135</v>
      </c>
      <c r="D9" s="70"/>
      <c r="E9" s="70"/>
      <c r="F9" s="71"/>
      <c r="G9" s="71"/>
      <c r="H9" s="71"/>
      <c r="I9" s="71"/>
      <c r="J9" s="71"/>
      <c r="K9" s="72"/>
    </row>
    <row r="10" spans="1:11" ht="18.75" customHeight="1">
      <c r="A10" s="125"/>
      <c r="B10" s="46" t="s">
        <v>63</v>
      </c>
      <c r="C10" s="74">
        <v>46136</v>
      </c>
      <c r="D10" s="74"/>
      <c r="E10" s="74"/>
      <c r="F10" s="75"/>
      <c r="G10" s="75"/>
      <c r="H10" s="75"/>
      <c r="I10" s="75"/>
      <c r="J10" s="75"/>
      <c r="K10" s="76"/>
    </row>
    <row r="11" spans="1:11" ht="18.75" customHeight="1">
      <c r="A11" s="125"/>
      <c r="B11" s="46" t="s">
        <v>64</v>
      </c>
      <c r="C11" s="74"/>
      <c r="D11" s="74"/>
      <c r="E11" s="74"/>
      <c r="F11" s="75"/>
      <c r="G11" s="75"/>
      <c r="H11" s="75"/>
      <c r="I11" s="75"/>
      <c r="J11" s="75"/>
      <c r="K11" s="76"/>
    </row>
    <row r="12" spans="1:11" ht="18.75" customHeight="1">
      <c r="A12" s="125"/>
      <c r="B12" s="46" t="s">
        <v>65</v>
      </c>
      <c r="C12" s="74"/>
      <c r="D12" s="74"/>
      <c r="E12" s="74"/>
      <c r="F12" s="75"/>
      <c r="G12" s="75"/>
      <c r="H12" s="75"/>
      <c r="I12" s="75"/>
      <c r="J12" s="75"/>
      <c r="K12" s="76"/>
    </row>
    <row r="13" spans="1:11" ht="18.75" customHeight="1">
      <c r="A13" s="125"/>
      <c r="B13" s="46" t="s">
        <v>66</v>
      </c>
      <c r="C13" s="74"/>
      <c r="D13" s="74"/>
      <c r="E13" s="74"/>
      <c r="F13" s="75"/>
      <c r="G13" s="75"/>
      <c r="H13" s="75"/>
      <c r="I13" s="75"/>
      <c r="J13" s="75"/>
      <c r="K13" s="76"/>
    </row>
    <row r="14" spans="1:11" ht="18.75" customHeight="1">
      <c r="A14" s="125"/>
      <c r="B14" s="46" t="s">
        <v>67</v>
      </c>
      <c r="C14" s="74"/>
      <c r="D14" s="74"/>
      <c r="E14" s="74"/>
      <c r="F14" s="75"/>
      <c r="G14" s="75"/>
      <c r="H14" s="75"/>
      <c r="I14" s="75"/>
      <c r="J14" s="75"/>
      <c r="K14" s="76"/>
    </row>
    <row r="15" spans="1:11" ht="18.75" customHeight="1">
      <c r="A15" s="125"/>
      <c r="B15" s="46" t="s">
        <v>68</v>
      </c>
      <c r="C15" s="74"/>
      <c r="D15" s="74"/>
      <c r="E15" s="74"/>
      <c r="F15" s="75"/>
      <c r="G15" s="75"/>
      <c r="H15" s="75"/>
      <c r="I15" s="75"/>
      <c r="J15" s="75"/>
      <c r="K15" s="76"/>
    </row>
    <row r="16" spans="1:11" ht="18.75" customHeight="1">
      <c r="A16" s="125"/>
      <c r="B16" s="46" t="s">
        <v>69</v>
      </c>
      <c r="C16" s="74"/>
      <c r="D16" s="74"/>
      <c r="E16" s="74"/>
      <c r="F16" s="75"/>
      <c r="G16" s="75"/>
      <c r="H16" s="75"/>
      <c r="I16" s="75"/>
      <c r="J16" s="75"/>
      <c r="K16" s="76"/>
    </row>
    <row r="17" spans="1:11" ht="18.75" customHeight="1">
      <c r="A17" s="125"/>
      <c r="B17" s="46" t="s">
        <v>70</v>
      </c>
      <c r="C17" s="74"/>
      <c r="D17" s="74"/>
      <c r="E17" s="74"/>
      <c r="F17" s="75"/>
      <c r="G17" s="75"/>
      <c r="H17" s="75"/>
      <c r="I17" s="75"/>
      <c r="J17" s="75"/>
      <c r="K17" s="76"/>
    </row>
    <row r="18" spans="1:11" ht="18.75" customHeight="1">
      <c r="A18" s="125"/>
      <c r="B18" s="46" t="s">
        <v>71</v>
      </c>
      <c r="C18" s="78"/>
      <c r="D18" s="74"/>
      <c r="E18" s="75"/>
      <c r="F18" s="75"/>
      <c r="G18" s="75"/>
      <c r="H18" s="75"/>
      <c r="I18" s="75"/>
      <c r="J18" s="75"/>
      <c r="K18" s="76"/>
    </row>
    <row r="19" spans="1:11" ht="18.75" customHeight="1">
      <c r="A19" s="125"/>
      <c r="B19" s="46" t="s">
        <v>72</v>
      </c>
      <c r="C19" s="51"/>
      <c r="D19" s="78"/>
      <c r="E19" s="75"/>
      <c r="F19" s="75"/>
      <c r="G19" s="75"/>
      <c r="H19" s="75"/>
      <c r="I19" s="75"/>
      <c r="J19" s="75"/>
      <c r="K19" s="76"/>
    </row>
    <row r="20" spans="1:11" ht="18.75" customHeight="1">
      <c r="A20" s="125"/>
      <c r="B20" s="46" t="s">
        <v>73</v>
      </c>
      <c r="C20" s="52"/>
      <c r="D20" s="51"/>
      <c r="E20" s="79"/>
      <c r="F20" s="75"/>
      <c r="G20" s="75"/>
      <c r="H20" s="75"/>
      <c r="I20" s="75"/>
      <c r="J20" s="75"/>
      <c r="K20" s="76"/>
    </row>
    <row r="21" spans="1:11" ht="18.75" customHeight="1">
      <c r="A21" s="125"/>
      <c r="B21" s="46" t="s">
        <v>74</v>
      </c>
      <c r="C21" s="52"/>
      <c r="D21" s="52"/>
      <c r="E21" s="51"/>
      <c r="F21" s="75"/>
      <c r="G21" s="75"/>
      <c r="H21" s="75"/>
      <c r="I21" s="75"/>
      <c r="J21" s="75"/>
      <c r="K21" s="76"/>
    </row>
    <row r="22" spans="1:11" ht="18.75" customHeight="1">
      <c r="A22" s="125"/>
      <c r="B22" s="46" t="s">
        <v>75</v>
      </c>
      <c r="C22" s="52"/>
      <c r="D22" s="52"/>
      <c r="E22" s="52"/>
      <c r="F22" s="79"/>
      <c r="G22" s="75"/>
      <c r="H22" s="75"/>
      <c r="I22" s="75"/>
      <c r="J22" s="75"/>
      <c r="K22" s="76"/>
    </row>
    <row r="23" spans="1:11" ht="18.75" customHeight="1">
      <c r="A23" s="125"/>
      <c r="B23" s="46" t="s">
        <v>76</v>
      </c>
      <c r="C23" s="52"/>
      <c r="D23" s="52"/>
      <c r="E23" s="52"/>
      <c r="F23" s="51"/>
      <c r="G23" s="80"/>
      <c r="H23" s="80"/>
      <c r="I23" s="80"/>
      <c r="J23" s="80"/>
      <c r="K23" s="81"/>
    </row>
    <row r="24" spans="1:11" ht="18.75" customHeight="1">
      <c r="A24" s="125"/>
      <c r="B24" s="46" t="s">
        <v>77</v>
      </c>
      <c r="C24" s="52"/>
      <c r="D24" s="52"/>
      <c r="E24" s="52"/>
      <c r="F24" s="52"/>
      <c r="G24" s="82"/>
      <c r="H24" s="80"/>
      <c r="I24" s="80"/>
      <c r="J24" s="80"/>
      <c r="K24" s="81"/>
    </row>
    <row r="25" spans="1:11" ht="18.75" customHeight="1">
      <c r="A25" s="125"/>
      <c r="B25" s="46" t="s">
        <v>78</v>
      </c>
      <c r="C25" s="52"/>
      <c r="D25" s="52"/>
      <c r="E25" s="52"/>
      <c r="F25" s="52"/>
      <c r="G25" s="51"/>
      <c r="H25" s="80"/>
      <c r="I25" s="80"/>
      <c r="J25" s="80"/>
      <c r="K25" s="81"/>
    </row>
    <row r="26" spans="1:11" ht="18.75" customHeight="1">
      <c r="A26" s="125"/>
      <c r="B26" s="46" t="s">
        <v>79</v>
      </c>
      <c r="C26" s="52"/>
      <c r="D26" s="52"/>
      <c r="E26" s="52"/>
      <c r="F26" s="52"/>
      <c r="G26" s="52"/>
      <c r="H26" s="82"/>
      <c r="I26" s="80"/>
      <c r="J26" s="80"/>
      <c r="K26" s="81"/>
    </row>
    <row r="27" spans="1:11" ht="18.75" customHeight="1">
      <c r="A27" s="125"/>
      <c r="B27" s="46" t="s">
        <v>80</v>
      </c>
      <c r="C27" s="52"/>
      <c r="D27" s="52"/>
      <c r="E27" s="52"/>
      <c r="F27" s="52"/>
      <c r="G27" s="52"/>
      <c r="H27" s="51"/>
      <c r="I27" s="80"/>
      <c r="J27" s="80"/>
      <c r="K27" s="81"/>
    </row>
    <row r="28" spans="1:11" ht="18.75" customHeight="1">
      <c r="A28" s="125"/>
      <c r="B28" s="57" t="s">
        <v>81</v>
      </c>
      <c r="C28" s="58"/>
      <c r="D28" s="58"/>
      <c r="E28" s="58"/>
      <c r="F28" s="58"/>
      <c r="G28" s="58"/>
      <c r="H28" s="58"/>
      <c r="I28" s="83"/>
      <c r="J28" s="83"/>
      <c r="K28" s="84"/>
    </row>
    <row r="29" spans="1:11" ht="26.25" customHeight="1">
      <c r="A29" s="126" t="s">
        <v>82</v>
      </c>
      <c r="B29" s="127"/>
      <c r="C29" s="61">
        <f t="shared" ref="C29:K29" si="1">COUNTA(C9:C28)</f>
        <v>2</v>
      </c>
      <c r="D29" s="61">
        <f t="shared" si="1"/>
        <v>0</v>
      </c>
      <c r="E29" s="61">
        <f t="shared" si="1"/>
        <v>0</v>
      </c>
      <c r="F29" s="61">
        <f t="shared" si="1"/>
        <v>0</v>
      </c>
      <c r="G29" s="61">
        <f t="shared" si="1"/>
        <v>0</v>
      </c>
      <c r="H29" s="61">
        <f t="shared" si="1"/>
        <v>0</v>
      </c>
      <c r="I29" s="61">
        <f t="shared" si="1"/>
        <v>0</v>
      </c>
      <c r="J29" s="61">
        <f t="shared" si="1"/>
        <v>0</v>
      </c>
      <c r="K29" s="62">
        <f t="shared" si="1"/>
        <v>0</v>
      </c>
    </row>
    <row r="30" spans="1:11" ht="26.25" customHeight="1">
      <c r="A30" s="128" t="s">
        <v>83</v>
      </c>
      <c r="B30" s="129"/>
      <c r="C30" s="63">
        <f>C8-C29</f>
        <v>8</v>
      </c>
      <c r="D30" s="63">
        <f>C30+D8-D29</f>
        <v>19</v>
      </c>
      <c r="E30" s="63">
        <f t="shared" ref="E30:K30" si="2">D8+E8-E29</f>
        <v>23</v>
      </c>
      <c r="F30" s="63">
        <f t="shared" si="2"/>
        <v>26</v>
      </c>
      <c r="G30" s="63">
        <f t="shared" si="2"/>
        <v>30</v>
      </c>
      <c r="H30" s="63">
        <f t="shared" si="2"/>
        <v>34</v>
      </c>
      <c r="I30" s="63">
        <f t="shared" si="2"/>
        <v>38</v>
      </c>
      <c r="J30" s="63">
        <f t="shared" si="2"/>
        <v>40</v>
      </c>
      <c r="K30" s="63">
        <f t="shared" si="2"/>
        <v>40</v>
      </c>
    </row>
    <row r="31" spans="1:11" s="65" customFormat="1" ht="18" customHeight="1">
      <c r="A31" s="130" t="s">
        <v>48</v>
      </c>
      <c r="B31" s="131"/>
      <c r="C31" s="66">
        <f t="shared" ref="C31:K31" si="3">C5</f>
        <v>45931</v>
      </c>
      <c r="D31" s="66">
        <f t="shared" si="3"/>
        <v>46296</v>
      </c>
      <c r="E31" s="66">
        <f t="shared" si="3"/>
        <v>46661</v>
      </c>
      <c r="F31" s="66">
        <f t="shared" si="3"/>
        <v>47027</v>
      </c>
      <c r="G31" s="66">
        <f t="shared" si="3"/>
        <v>47392</v>
      </c>
      <c r="H31" s="66">
        <f t="shared" si="3"/>
        <v>47757</v>
      </c>
      <c r="I31" s="66">
        <f t="shared" si="3"/>
        <v>48122</v>
      </c>
      <c r="J31" s="66">
        <f t="shared" si="3"/>
        <v>48488</v>
      </c>
      <c r="K31" s="66">
        <f t="shared" si="3"/>
        <v>48853</v>
      </c>
    </row>
    <row r="32" spans="1:11" s="65" customFormat="1" ht="18" customHeight="1">
      <c r="A32" s="118" t="s">
        <v>49</v>
      </c>
      <c r="B32" s="119"/>
      <c r="C32" s="66">
        <f t="shared" ref="C32:K32" si="4">C6</f>
        <v>46660</v>
      </c>
      <c r="D32" s="66">
        <f t="shared" si="4"/>
        <v>47026</v>
      </c>
      <c r="E32" s="66">
        <f t="shared" si="4"/>
        <v>47391</v>
      </c>
      <c r="F32" s="66">
        <f t="shared" si="4"/>
        <v>47756</v>
      </c>
      <c r="G32" s="66">
        <f t="shared" si="4"/>
        <v>48121</v>
      </c>
      <c r="H32" s="66">
        <f t="shared" si="4"/>
        <v>48487</v>
      </c>
      <c r="I32" s="66">
        <f t="shared" si="4"/>
        <v>48852</v>
      </c>
      <c r="J32" s="66">
        <f t="shared" si="4"/>
        <v>49217</v>
      </c>
      <c r="K32" s="66">
        <f t="shared" si="4"/>
        <v>49582</v>
      </c>
    </row>
    <row r="33" spans="1:11" ht="27" customHeight="1">
      <c r="A33" s="120" t="s">
        <v>84</v>
      </c>
      <c r="B33" s="121"/>
      <c r="C33" s="121"/>
      <c r="D33" s="121"/>
      <c r="E33" s="121"/>
      <c r="F33" s="121"/>
      <c r="G33" s="121"/>
      <c r="H33" s="121"/>
      <c r="I33" s="121"/>
      <c r="J33" s="121"/>
      <c r="K33" s="121"/>
    </row>
  </sheetData>
  <mergeCells count="12">
    <mergeCell ref="B2:D2"/>
    <mergeCell ref="B3:D3"/>
    <mergeCell ref="A5:B5"/>
    <mergeCell ref="A6:B6"/>
    <mergeCell ref="A7:B7"/>
    <mergeCell ref="A32:B32"/>
    <mergeCell ref="A33:K33"/>
    <mergeCell ref="A8:B8"/>
    <mergeCell ref="A9:A28"/>
    <mergeCell ref="A29:B29"/>
    <mergeCell ref="A30:B30"/>
    <mergeCell ref="A31:B31"/>
  </mergeCells>
  <phoneticPr fontId="31"/>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3"/>
  <sheetViews>
    <sheetView zoomScaleNormal="100" workbookViewId="0">
      <selection activeCell="F16" sqref="F16"/>
    </sheetView>
  </sheetViews>
  <sheetFormatPr defaultColWidth="8.125" defaultRowHeight="13.5" customHeight="1"/>
  <cols>
    <col min="1" max="1" width="18.875" style="29" customWidth="1"/>
    <col min="2" max="2" width="6.25" style="30" customWidth="1"/>
    <col min="3" max="11" width="11.25" style="29" customWidth="1"/>
    <col min="12" max="12" width="8.125" style="29" customWidth="1"/>
    <col min="13" max="16384" width="8.125" style="29"/>
  </cols>
  <sheetData>
    <row r="1" spans="1:11" ht="40.5" customHeight="1">
      <c r="A1" s="31" t="s">
        <v>95</v>
      </c>
    </row>
    <row r="2" spans="1:11" ht="19.5" customHeight="1">
      <c r="A2" s="32" t="s">
        <v>46</v>
      </c>
      <c r="B2" s="154" t="s">
        <v>101</v>
      </c>
      <c r="C2" s="133"/>
    </row>
    <row r="3" spans="1:11" ht="21" customHeight="1">
      <c r="A3" s="32" t="s">
        <v>4</v>
      </c>
      <c r="B3" s="134">
        <v>43815</v>
      </c>
      <c r="C3" s="133"/>
    </row>
    <row r="4" spans="1:11" ht="13.9" customHeight="1">
      <c r="A4" s="33"/>
      <c r="B4" s="34"/>
    </row>
    <row r="5" spans="1:11" ht="18.75" customHeight="1">
      <c r="A5" s="135" t="s">
        <v>48</v>
      </c>
      <c r="B5" s="131"/>
      <c r="C5" s="35">
        <f>DATE(YEAR($B$3),MONTH($B$3)+6,DAY($B$3))</f>
        <v>43998</v>
      </c>
      <c r="D5" s="35">
        <f t="shared" ref="D5:K5" si="0">DATE(YEAR(C5)+1,MONTH(C5),DAY(C5))</f>
        <v>44363</v>
      </c>
      <c r="E5" s="35">
        <f t="shared" si="0"/>
        <v>44728</v>
      </c>
      <c r="F5" s="35">
        <f t="shared" si="0"/>
        <v>45093</v>
      </c>
      <c r="G5" s="35">
        <f t="shared" si="0"/>
        <v>45459</v>
      </c>
      <c r="H5" s="35">
        <f t="shared" si="0"/>
        <v>45824</v>
      </c>
      <c r="I5" s="35">
        <f t="shared" si="0"/>
        <v>46189</v>
      </c>
      <c r="J5" s="35">
        <f t="shared" si="0"/>
        <v>46554</v>
      </c>
      <c r="K5" s="35">
        <f t="shared" si="0"/>
        <v>46920</v>
      </c>
    </row>
    <row r="6" spans="1:11" ht="18.75" customHeight="1">
      <c r="A6" s="136" t="s">
        <v>49</v>
      </c>
      <c r="B6" s="119"/>
      <c r="C6" s="36">
        <f>DATE(YEAR($C$5)+2,MONTH($C$5),DAY($C$5)-1)</f>
        <v>44727</v>
      </c>
      <c r="D6" s="36">
        <f>DATE(YEAR($D$5)+2,MONTH($D$5),DAY($D$5)-1)</f>
        <v>45092</v>
      </c>
      <c r="E6" s="36">
        <f>DATE(YEAR($E$5)+2,MONTH($E$5),DAY($E$5)-1)</f>
        <v>45458</v>
      </c>
      <c r="F6" s="36">
        <f>DATE(YEAR($F$5)+2,MONTH($F$5),DAY($F$5)-1)</f>
        <v>45823</v>
      </c>
      <c r="G6" s="36">
        <f>DATE(YEAR($G$5)+2,MONTH($G$5),DAY($G$5)-1)</f>
        <v>46188</v>
      </c>
      <c r="H6" s="36">
        <f>DATE(YEAR($H$5)+2,MONTH($H$5),DAY($H$5)-1)</f>
        <v>46553</v>
      </c>
      <c r="I6" s="36">
        <f>DATE(YEAR($I$5)+2,MONTH($I$5),DAY($I$5)-1)</f>
        <v>46919</v>
      </c>
      <c r="J6" s="36">
        <f>DATE(YEAR($J$5)+2,MONTH($J$5),DAY($J$5)-1)</f>
        <v>47284</v>
      </c>
      <c r="K6" s="37">
        <f>DATE(YEAR($K$5)+2,MONTH($K$5),DAY($K$5)-1)</f>
        <v>47649</v>
      </c>
    </row>
    <row r="7" spans="1:11" ht="18.75" customHeight="1">
      <c r="A7" s="136" t="s">
        <v>50</v>
      </c>
      <c r="B7" s="119"/>
      <c r="C7" s="38" t="s">
        <v>51</v>
      </c>
      <c r="D7" s="38" t="s">
        <v>52</v>
      </c>
      <c r="E7" s="38" t="s">
        <v>53</v>
      </c>
      <c r="F7" s="38" t="s">
        <v>54</v>
      </c>
      <c r="G7" s="38" t="s">
        <v>55</v>
      </c>
      <c r="H7" s="38" t="s">
        <v>56</v>
      </c>
      <c r="I7" s="38" t="s">
        <v>57</v>
      </c>
      <c r="J7" s="38" t="s">
        <v>58</v>
      </c>
      <c r="K7" s="39" t="s">
        <v>59</v>
      </c>
    </row>
    <row r="8" spans="1:11" ht="18.75" customHeight="1">
      <c r="A8" s="122" t="s">
        <v>60</v>
      </c>
      <c r="B8" s="123"/>
      <c r="C8" s="40">
        <v>10</v>
      </c>
      <c r="D8" s="40">
        <v>11</v>
      </c>
      <c r="E8" s="40">
        <v>12</v>
      </c>
      <c r="F8" s="40">
        <v>14</v>
      </c>
      <c r="G8" s="40">
        <v>16</v>
      </c>
      <c r="H8" s="40">
        <v>18</v>
      </c>
      <c r="I8" s="40">
        <v>20</v>
      </c>
      <c r="J8" s="40">
        <v>20</v>
      </c>
      <c r="K8" s="41">
        <v>20</v>
      </c>
    </row>
    <row r="9" spans="1:11" ht="18.75" customHeight="1">
      <c r="A9" s="124" t="s">
        <v>61</v>
      </c>
      <c r="B9" s="42" t="s">
        <v>62</v>
      </c>
      <c r="C9" s="70">
        <v>44102</v>
      </c>
      <c r="D9" s="70">
        <v>45026</v>
      </c>
      <c r="E9" s="70">
        <v>45181</v>
      </c>
      <c r="F9" s="71">
        <v>45511</v>
      </c>
      <c r="G9" s="71">
        <v>45772</v>
      </c>
      <c r="H9" s="71"/>
      <c r="I9" s="71"/>
      <c r="J9" s="71"/>
      <c r="K9" s="72"/>
    </row>
    <row r="10" spans="1:11" ht="18.75" customHeight="1">
      <c r="A10" s="125"/>
      <c r="B10" s="46" t="s">
        <v>63</v>
      </c>
      <c r="C10" s="74">
        <v>44103</v>
      </c>
      <c r="D10" s="74">
        <v>45083</v>
      </c>
      <c r="E10" s="74">
        <v>45196</v>
      </c>
      <c r="F10" s="87">
        <v>45513</v>
      </c>
      <c r="G10" s="87">
        <v>45804</v>
      </c>
      <c r="H10" s="75"/>
      <c r="I10" s="75"/>
      <c r="J10" s="75"/>
      <c r="K10" s="76"/>
    </row>
    <row r="11" spans="1:11" ht="18.75" customHeight="1">
      <c r="A11" s="125"/>
      <c r="B11" s="46" t="s">
        <v>64</v>
      </c>
      <c r="C11" s="74">
        <v>44106</v>
      </c>
      <c r="D11" s="74"/>
      <c r="E11" s="74">
        <v>45282</v>
      </c>
      <c r="F11" s="75">
        <v>45533</v>
      </c>
      <c r="G11" s="87">
        <v>45805</v>
      </c>
      <c r="H11" s="75"/>
      <c r="I11" s="75"/>
      <c r="J11" s="75"/>
      <c r="K11" s="76"/>
    </row>
    <row r="12" spans="1:11" ht="18.75" customHeight="1">
      <c r="A12" s="125"/>
      <c r="B12" s="46" t="s">
        <v>65</v>
      </c>
      <c r="C12" s="74"/>
      <c r="D12" s="74"/>
      <c r="E12" s="74">
        <v>45315</v>
      </c>
      <c r="F12" s="75">
        <v>45534</v>
      </c>
      <c r="G12" s="75">
        <v>45875</v>
      </c>
      <c r="H12" s="75"/>
      <c r="I12" s="75"/>
      <c r="J12" s="75"/>
      <c r="K12" s="76"/>
    </row>
    <row r="13" spans="1:11" ht="18.75" customHeight="1">
      <c r="A13" s="125"/>
      <c r="B13" s="46" t="s">
        <v>66</v>
      </c>
      <c r="C13" s="74"/>
      <c r="D13" s="74"/>
      <c r="E13" s="74">
        <v>45324</v>
      </c>
      <c r="F13" s="75">
        <v>45546</v>
      </c>
      <c r="G13" s="75">
        <v>45880</v>
      </c>
      <c r="H13" s="75"/>
      <c r="I13" s="75"/>
      <c r="J13" s="75"/>
      <c r="K13" s="76"/>
    </row>
    <row r="14" spans="1:11" ht="18.75" customHeight="1">
      <c r="A14" s="125"/>
      <c r="B14" s="46" t="s">
        <v>67</v>
      </c>
      <c r="C14" s="74"/>
      <c r="D14" s="74"/>
      <c r="E14" s="74">
        <v>45327</v>
      </c>
      <c r="F14" s="75">
        <v>45694</v>
      </c>
      <c r="G14" s="75">
        <v>45881</v>
      </c>
      <c r="H14" s="75"/>
      <c r="I14" s="75"/>
      <c r="J14" s="75"/>
      <c r="K14" s="76"/>
    </row>
    <row r="15" spans="1:11" ht="18.75" customHeight="1">
      <c r="A15" s="125"/>
      <c r="B15" s="46" t="s">
        <v>68</v>
      </c>
      <c r="C15" s="96"/>
      <c r="D15" s="74"/>
      <c r="E15" s="74">
        <v>45328</v>
      </c>
      <c r="F15" s="75">
        <v>45755</v>
      </c>
      <c r="G15" s="75">
        <v>45909</v>
      </c>
      <c r="H15" s="75"/>
      <c r="I15" s="75"/>
      <c r="J15" s="75"/>
      <c r="K15" s="76"/>
    </row>
    <row r="16" spans="1:11" ht="18.75" customHeight="1">
      <c r="A16" s="125"/>
      <c r="B16" s="46" t="s">
        <v>69</v>
      </c>
      <c r="C16" s="112"/>
      <c r="D16" s="93"/>
      <c r="E16" s="74">
        <v>45329</v>
      </c>
      <c r="F16" s="75">
        <v>45770</v>
      </c>
      <c r="G16" s="75">
        <v>45910</v>
      </c>
      <c r="H16" s="75"/>
      <c r="I16" s="75"/>
      <c r="J16" s="75"/>
      <c r="K16" s="76"/>
    </row>
    <row r="17" spans="1:11" ht="18.75" customHeight="1">
      <c r="A17" s="125"/>
      <c r="B17" s="46" t="s">
        <v>70</v>
      </c>
      <c r="C17" s="54"/>
      <c r="D17" s="113"/>
      <c r="E17" s="89">
        <v>45434</v>
      </c>
      <c r="F17" s="93">
        <v>45771</v>
      </c>
      <c r="G17" s="75"/>
      <c r="H17" s="75"/>
      <c r="I17" s="75"/>
      <c r="J17" s="75"/>
      <c r="K17" s="76"/>
    </row>
    <row r="18" spans="1:11" ht="18.75" customHeight="1">
      <c r="A18" s="125"/>
      <c r="B18" s="46" t="s">
        <v>71</v>
      </c>
      <c r="C18" s="56"/>
      <c r="D18" s="54"/>
      <c r="E18" s="112"/>
      <c r="F18" s="93"/>
      <c r="G18" s="75"/>
      <c r="H18" s="75"/>
      <c r="I18" s="75"/>
      <c r="J18" s="75"/>
      <c r="K18" s="76"/>
    </row>
    <row r="19" spans="1:11" ht="18.75" customHeight="1">
      <c r="A19" s="125"/>
      <c r="B19" s="46" t="s">
        <v>72</v>
      </c>
      <c r="C19" s="51"/>
      <c r="D19" s="59"/>
      <c r="E19" s="54"/>
      <c r="F19" s="113"/>
      <c r="G19" s="93"/>
      <c r="H19" s="75"/>
      <c r="I19" s="75"/>
      <c r="J19" s="75"/>
      <c r="K19" s="76"/>
    </row>
    <row r="20" spans="1:11" ht="18.75" customHeight="1">
      <c r="A20" s="125"/>
      <c r="B20" s="46" t="s">
        <v>73</v>
      </c>
      <c r="C20" s="52"/>
      <c r="D20" s="94"/>
      <c r="E20" s="56"/>
      <c r="F20" s="54"/>
      <c r="G20" s="113"/>
      <c r="H20" s="75"/>
      <c r="I20" s="75"/>
      <c r="J20" s="75"/>
      <c r="K20" s="76"/>
    </row>
    <row r="21" spans="1:11" ht="18.75" customHeight="1">
      <c r="A21" s="125"/>
      <c r="B21" s="46" t="s">
        <v>74</v>
      </c>
      <c r="C21" s="52"/>
      <c r="D21" s="52"/>
      <c r="E21" s="51"/>
      <c r="F21" s="54"/>
      <c r="G21" s="54"/>
      <c r="H21" s="75"/>
      <c r="I21" s="75"/>
      <c r="J21" s="75"/>
      <c r="K21" s="76"/>
    </row>
    <row r="22" spans="1:11" ht="18.75" customHeight="1">
      <c r="A22" s="125"/>
      <c r="B22" s="46" t="s">
        <v>75</v>
      </c>
      <c r="C22" s="52"/>
      <c r="D22" s="52"/>
      <c r="E22" s="52"/>
      <c r="F22" s="59"/>
      <c r="G22" s="54"/>
      <c r="H22" s="75"/>
      <c r="I22" s="75"/>
      <c r="J22" s="75"/>
      <c r="K22" s="76"/>
    </row>
    <row r="23" spans="1:11" ht="18.75" customHeight="1">
      <c r="A23" s="125"/>
      <c r="B23" s="46" t="s">
        <v>76</v>
      </c>
      <c r="C23" s="52"/>
      <c r="D23" s="52"/>
      <c r="E23" s="52"/>
      <c r="F23" s="94"/>
      <c r="G23" s="54"/>
      <c r="H23" s="80"/>
      <c r="I23" s="80"/>
      <c r="J23" s="80"/>
      <c r="K23" s="81"/>
    </row>
    <row r="24" spans="1:11" ht="18.75" customHeight="1">
      <c r="A24" s="125"/>
      <c r="B24" s="46" t="s">
        <v>77</v>
      </c>
      <c r="C24" s="52"/>
      <c r="D24" s="52"/>
      <c r="E24" s="52"/>
      <c r="F24" s="52"/>
      <c r="G24" s="114"/>
      <c r="H24" s="80"/>
      <c r="I24" s="80"/>
      <c r="J24" s="80"/>
      <c r="K24" s="81"/>
    </row>
    <row r="25" spans="1:11" ht="18.75" customHeight="1">
      <c r="A25" s="125"/>
      <c r="B25" s="46" t="s">
        <v>78</v>
      </c>
      <c r="C25" s="52"/>
      <c r="D25" s="52"/>
      <c r="E25" s="52"/>
      <c r="F25" s="52"/>
      <c r="G25" s="51"/>
      <c r="H25" s="80"/>
      <c r="I25" s="80"/>
      <c r="J25" s="80"/>
      <c r="K25" s="81"/>
    </row>
    <row r="26" spans="1:11" ht="18.75" customHeight="1">
      <c r="A26" s="125"/>
      <c r="B26" s="46" t="s">
        <v>79</v>
      </c>
      <c r="C26" s="52"/>
      <c r="D26" s="52"/>
      <c r="E26" s="52"/>
      <c r="F26" s="52"/>
      <c r="G26" s="52"/>
      <c r="H26" s="82"/>
      <c r="I26" s="80"/>
      <c r="J26" s="80"/>
      <c r="K26" s="81"/>
    </row>
    <row r="27" spans="1:11" ht="18.75" customHeight="1">
      <c r="A27" s="125"/>
      <c r="B27" s="46" t="s">
        <v>80</v>
      </c>
      <c r="C27" s="52"/>
      <c r="D27" s="52"/>
      <c r="E27" s="52"/>
      <c r="F27" s="52"/>
      <c r="G27" s="52"/>
      <c r="H27" s="51"/>
      <c r="I27" s="80"/>
      <c r="J27" s="80"/>
      <c r="K27" s="81"/>
    </row>
    <row r="28" spans="1:11" ht="18.75" customHeight="1">
      <c r="A28" s="125"/>
      <c r="B28" s="57" t="s">
        <v>81</v>
      </c>
      <c r="C28" s="58"/>
      <c r="D28" s="58"/>
      <c r="E28" s="58"/>
      <c r="F28" s="58"/>
      <c r="G28" s="58"/>
      <c r="H28" s="58"/>
      <c r="I28" s="83"/>
      <c r="J28" s="83"/>
      <c r="K28" s="84"/>
    </row>
    <row r="29" spans="1:11" ht="26.25" customHeight="1">
      <c r="A29" s="126" t="s">
        <v>82</v>
      </c>
      <c r="B29" s="127"/>
      <c r="C29" s="61">
        <f t="shared" ref="C29:K29" si="1">COUNTA(C9:C28)</f>
        <v>3</v>
      </c>
      <c r="D29" s="61">
        <f t="shared" si="1"/>
        <v>2</v>
      </c>
      <c r="E29" s="61">
        <f t="shared" si="1"/>
        <v>9</v>
      </c>
      <c r="F29" s="61">
        <f t="shared" si="1"/>
        <v>9</v>
      </c>
      <c r="G29" s="61">
        <f t="shared" si="1"/>
        <v>8</v>
      </c>
      <c r="H29" s="61">
        <f t="shared" si="1"/>
        <v>0</v>
      </c>
      <c r="I29" s="61">
        <f t="shared" si="1"/>
        <v>0</v>
      </c>
      <c r="J29" s="61">
        <f t="shared" si="1"/>
        <v>0</v>
      </c>
      <c r="K29" s="62">
        <f t="shared" si="1"/>
        <v>0</v>
      </c>
    </row>
    <row r="30" spans="1:11" ht="26.25" customHeight="1">
      <c r="A30" s="128" t="s">
        <v>83</v>
      </c>
      <c r="B30" s="129"/>
      <c r="C30" s="63">
        <f>C8-C29</f>
        <v>7</v>
      </c>
      <c r="D30" s="63">
        <f>C30+D8-D29</f>
        <v>16</v>
      </c>
      <c r="E30" s="63">
        <f>D8+E8-E29</f>
        <v>14</v>
      </c>
      <c r="F30" s="63">
        <f>E8+F8-F29</f>
        <v>17</v>
      </c>
      <c r="G30" s="63">
        <f>F8+G8-G29</f>
        <v>22</v>
      </c>
      <c r="H30" s="63">
        <f>G8+H8-H29</f>
        <v>34</v>
      </c>
      <c r="I30" s="63">
        <f>I8-I29</f>
        <v>20</v>
      </c>
      <c r="J30" s="63">
        <f>J8-J29</f>
        <v>20</v>
      </c>
      <c r="K30" s="64">
        <f>K8-K29</f>
        <v>20</v>
      </c>
    </row>
    <row r="31" spans="1:11" s="65" customFormat="1" ht="18" customHeight="1">
      <c r="A31" s="130" t="s">
        <v>48</v>
      </c>
      <c r="B31" s="131"/>
      <c r="C31" s="66">
        <f t="shared" ref="C31:K31" si="2">C5</f>
        <v>43998</v>
      </c>
      <c r="D31" s="66">
        <f t="shared" si="2"/>
        <v>44363</v>
      </c>
      <c r="E31" s="66">
        <f t="shared" si="2"/>
        <v>44728</v>
      </c>
      <c r="F31" s="66">
        <f t="shared" si="2"/>
        <v>45093</v>
      </c>
      <c r="G31" s="66">
        <f t="shared" si="2"/>
        <v>45459</v>
      </c>
      <c r="H31" s="66">
        <f t="shared" si="2"/>
        <v>45824</v>
      </c>
      <c r="I31" s="66">
        <f t="shared" si="2"/>
        <v>46189</v>
      </c>
      <c r="J31" s="66">
        <f t="shared" si="2"/>
        <v>46554</v>
      </c>
      <c r="K31" s="66">
        <f t="shared" si="2"/>
        <v>46920</v>
      </c>
    </row>
    <row r="32" spans="1:11" s="65" customFormat="1" ht="18" customHeight="1">
      <c r="A32" s="118" t="s">
        <v>49</v>
      </c>
      <c r="B32" s="119"/>
      <c r="C32" s="66">
        <f t="shared" ref="C32:K32" si="3">C6</f>
        <v>44727</v>
      </c>
      <c r="D32" s="66">
        <f t="shared" si="3"/>
        <v>45092</v>
      </c>
      <c r="E32" s="66">
        <f t="shared" si="3"/>
        <v>45458</v>
      </c>
      <c r="F32" s="66">
        <f t="shared" si="3"/>
        <v>45823</v>
      </c>
      <c r="G32" s="66">
        <f t="shared" si="3"/>
        <v>46188</v>
      </c>
      <c r="H32" s="66">
        <f t="shared" si="3"/>
        <v>46553</v>
      </c>
      <c r="I32" s="66">
        <f t="shared" si="3"/>
        <v>46919</v>
      </c>
      <c r="J32" s="66">
        <f t="shared" si="3"/>
        <v>47284</v>
      </c>
      <c r="K32" s="66">
        <f t="shared" si="3"/>
        <v>47649</v>
      </c>
    </row>
    <row r="33" spans="1:11" ht="27" customHeight="1">
      <c r="A33" s="120" t="s">
        <v>84</v>
      </c>
      <c r="B33" s="121"/>
      <c r="C33" s="121"/>
      <c r="D33" s="121"/>
      <c r="E33" s="121"/>
      <c r="F33" s="121"/>
      <c r="G33" s="121"/>
      <c r="H33" s="121"/>
      <c r="I33" s="121"/>
      <c r="J33" s="121"/>
      <c r="K33" s="121"/>
    </row>
  </sheetData>
  <mergeCells count="12">
    <mergeCell ref="B2:C2"/>
    <mergeCell ref="B3:C3"/>
    <mergeCell ref="A5:B5"/>
    <mergeCell ref="A6:B6"/>
    <mergeCell ref="A7:B7"/>
    <mergeCell ref="A32:B32"/>
    <mergeCell ref="A33:K33"/>
    <mergeCell ref="A8:B8"/>
    <mergeCell ref="A9:A28"/>
    <mergeCell ref="A29:B29"/>
    <mergeCell ref="A30:B30"/>
    <mergeCell ref="A31:B31"/>
  </mergeCells>
  <phoneticPr fontId="31"/>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3"/>
  <sheetViews>
    <sheetView zoomScaleNormal="100" workbookViewId="0">
      <selection activeCell="C16" sqref="C16"/>
    </sheetView>
  </sheetViews>
  <sheetFormatPr defaultColWidth="8.125" defaultRowHeight="13.5" customHeight="1"/>
  <cols>
    <col min="1" max="1" width="18.875" style="29" customWidth="1"/>
    <col min="2" max="2" width="6.25" style="30" customWidth="1"/>
    <col min="3" max="11" width="11.25" style="29" customWidth="1"/>
    <col min="12" max="12" width="8.125" style="29" customWidth="1"/>
    <col min="13" max="16384" width="8.125" style="29"/>
  </cols>
  <sheetData>
    <row r="1" spans="1:11" ht="40.5" customHeight="1">
      <c r="A1" s="31" t="s">
        <v>95</v>
      </c>
    </row>
    <row r="2" spans="1:11" ht="19.5" customHeight="1">
      <c r="A2" s="32" t="s">
        <v>46</v>
      </c>
      <c r="B2" s="154" t="s">
        <v>102</v>
      </c>
      <c r="C2" s="133"/>
    </row>
    <row r="3" spans="1:11" ht="21" customHeight="1">
      <c r="A3" s="32" t="s">
        <v>4</v>
      </c>
      <c r="B3" s="134">
        <v>44761</v>
      </c>
      <c r="C3" s="133"/>
    </row>
    <row r="4" spans="1:11" ht="13.9" customHeight="1">
      <c r="A4" s="33"/>
      <c r="B4" s="34"/>
    </row>
    <row r="5" spans="1:11" ht="18.75" customHeight="1">
      <c r="A5" s="135" t="s">
        <v>48</v>
      </c>
      <c r="B5" s="131"/>
      <c r="C5" s="35">
        <f>DATE(YEAR($B$3),MONTH($B$3)+6,DAY($B$3))</f>
        <v>44945</v>
      </c>
      <c r="D5" s="35">
        <f t="shared" ref="D5:K5" si="0">DATE(YEAR(C5)+1,MONTH(C5),DAY(C5))</f>
        <v>45310</v>
      </c>
      <c r="E5" s="35">
        <f t="shared" si="0"/>
        <v>45676</v>
      </c>
      <c r="F5" s="35">
        <f t="shared" si="0"/>
        <v>46041</v>
      </c>
      <c r="G5" s="35">
        <f t="shared" si="0"/>
        <v>46406</v>
      </c>
      <c r="H5" s="35">
        <f t="shared" si="0"/>
        <v>46771</v>
      </c>
      <c r="I5" s="35">
        <f t="shared" si="0"/>
        <v>47137</v>
      </c>
      <c r="J5" s="35">
        <f t="shared" si="0"/>
        <v>47502</v>
      </c>
      <c r="K5" s="35">
        <f t="shared" si="0"/>
        <v>47867</v>
      </c>
    </row>
    <row r="6" spans="1:11" ht="18.75" customHeight="1">
      <c r="A6" s="136" t="s">
        <v>49</v>
      </c>
      <c r="B6" s="119"/>
      <c r="C6" s="36">
        <f>DATE(YEAR($C$5)+2,MONTH($C$5),DAY($C$5)-1)</f>
        <v>45675</v>
      </c>
      <c r="D6" s="36">
        <f>DATE(YEAR($D$5)+2,MONTH($D$5),DAY($D$5)-1)</f>
        <v>46040</v>
      </c>
      <c r="E6" s="36">
        <f>DATE(YEAR($E$5)+2,MONTH($E$5),DAY($E$5)-1)</f>
        <v>46405</v>
      </c>
      <c r="F6" s="36">
        <f>DATE(YEAR($F$5)+2,MONTH($F$5),DAY($F$5)-1)</f>
        <v>46770</v>
      </c>
      <c r="G6" s="36">
        <f>DATE(YEAR($G$5)+2,MONTH($G$5),DAY($G$5)-1)</f>
        <v>47136</v>
      </c>
      <c r="H6" s="36">
        <f>DATE(YEAR($H$5)+2,MONTH($H$5),DAY($H$5)-1)</f>
        <v>47501</v>
      </c>
      <c r="I6" s="36">
        <f>DATE(YEAR($I$5)+2,MONTH($I$5),DAY($I$5)-1)</f>
        <v>47866</v>
      </c>
      <c r="J6" s="36">
        <f>DATE(YEAR($J$5)+2,MONTH($J$5),DAY($J$5)-1)</f>
        <v>48231</v>
      </c>
      <c r="K6" s="37">
        <f>DATE(YEAR($K$5)+2,MONTH($K$5),DAY($K$5)-1)</f>
        <v>48597</v>
      </c>
    </row>
    <row r="7" spans="1:11" ht="18.75" customHeight="1">
      <c r="A7" s="136" t="s">
        <v>50</v>
      </c>
      <c r="B7" s="119"/>
      <c r="C7" s="38" t="s">
        <v>51</v>
      </c>
      <c r="D7" s="38" t="s">
        <v>52</v>
      </c>
      <c r="E7" s="38" t="s">
        <v>53</v>
      </c>
      <c r="F7" s="38" t="s">
        <v>54</v>
      </c>
      <c r="G7" s="38" t="s">
        <v>55</v>
      </c>
      <c r="H7" s="38" t="s">
        <v>56</v>
      </c>
      <c r="I7" s="38" t="s">
        <v>57</v>
      </c>
      <c r="J7" s="38" t="s">
        <v>58</v>
      </c>
      <c r="K7" s="39" t="s">
        <v>59</v>
      </c>
    </row>
    <row r="8" spans="1:11" ht="18.75" customHeight="1">
      <c r="A8" s="122" t="s">
        <v>60</v>
      </c>
      <c r="B8" s="123"/>
      <c r="C8" s="40">
        <v>10</v>
      </c>
      <c r="D8" s="40">
        <v>11</v>
      </c>
      <c r="E8" s="40">
        <v>12</v>
      </c>
      <c r="F8" s="40">
        <v>14</v>
      </c>
      <c r="G8" s="40">
        <v>16</v>
      </c>
      <c r="H8" s="40">
        <v>18</v>
      </c>
      <c r="I8" s="40">
        <v>20</v>
      </c>
      <c r="J8" s="40">
        <v>20</v>
      </c>
      <c r="K8" s="41">
        <v>20</v>
      </c>
    </row>
    <row r="9" spans="1:11" ht="18.75" customHeight="1">
      <c r="A9" s="124" t="s">
        <v>61</v>
      </c>
      <c r="B9" s="42" t="s">
        <v>62</v>
      </c>
      <c r="C9" s="70">
        <v>44951</v>
      </c>
      <c r="D9" s="74">
        <v>45392</v>
      </c>
      <c r="E9" s="70">
        <v>45842</v>
      </c>
      <c r="F9" s="71"/>
      <c r="G9" s="71"/>
      <c r="H9" s="71"/>
      <c r="I9" s="71"/>
      <c r="J9" s="71"/>
      <c r="K9" s="72"/>
    </row>
    <row r="10" spans="1:11" ht="18.75" customHeight="1">
      <c r="A10" s="125"/>
      <c r="B10" s="46" t="s">
        <v>63</v>
      </c>
      <c r="C10" s="74">
        <v>44953</v>
      </c>
      <c r="D10" s="74">
        <v>45393</v>
      </c>
      <c r="E10" s="90">
        <v>45849</v>
      </c>
      <c r="F10" s="75"/>
      <c r="G10" s="75"/>
      <c r="H10" s="75"/>
      <c r="I10" s="75"/>
      <c r="J10" s="75"/>
      <c r="K10" s="76"/>
    </row>
    <row r="11" spans="1:11" ht="18.75" customHeight="1">
      <c r="A11" s="125"/>
      <c r="B11" s="46" t="s">
        <v>64</v>
      </c>
      <c r="C11" s="74">
        <v>45057</v>
      </c>
      <c r="D11" s="74">
        <v>45394</v>
      </c>
      <c r="E11" s="74">
        <v>45891</v>
      </c>
      <c r="F11" s="75"/>
      <c r="G11" s="75"/>
      <c r="H11" s="75"/>
      <c r="I11" s="75"/>
      <c r="J11" s="75"/>
      <c r="K11" s="76"/>
    </row>
    <row r="12" spans="1:11" ht="18.75" customHeight="1">
      <c r="A12" s="125"/>
      <c r="B12" s="46" t="s">
        <v>65</v>
      </c>
      <c r="C12" s="74">
        <v>45058</v>
      </c>
      <c r="D12" s="74">
        <v>45477</v>
      </c>
      <c r="E12" s="88">
        <v>46080</v>
      </c>
      <c r="F12" s="75"/>
      <c r="G12" s="75"/>
      <c r="H12" s="75"/>
      <c r="I12" s="75"/>
      <c r="J12" s="75"/>
      <c r="K12" s="76"/>
    </row>
    <row r="13" spans="1:11" ht="18.75" customHeight="1">
      <c r="A13" s="125"/>
      <c r="B13" s="46" t="s">
        <v>66</v>
      </c>
      <c r="C13" s="74">
        <v>45065</v>
      </c>
      <c r="D13" s="115">
        <v>45534</v>
      </c>
      <c r="E13" s="74">
        <v>46135</v>
      </c>
      <c r="F13" s="75"/>
      <c r="G13" s="75"/>
      <c r="H13" s="75"/>
      <c r="I13" s="75"/>
      <c r="J13" s="75"/>
      <c r="K13" s="76"/>
    </row>
    <row r="14" spans="1:11" ht="18.75" customHeight="1">
      <c r="A14" s="125"/>
      <c r="B14" s="46" t="s">
        <v>67</v>
      </c>
      <c r="C14" s="74">
        <v>45120</v>
      </c>
      <c r="D14" s="91">
        <v>45565</v>
      </c>
      <c r="E14" s="74">
        <v>46157</v>
      </c>
      <c r="F14" s="75"/>
      <c r="G14" s="75"/>
      <c r="H14" s="75"/>
      <c r="I14" s="75"/>
      <c r="J14" s="75"/>
      <c r="K14" s="76"/>
    </row>
    <row r="15" spans="1:11" ht="18.75" customHeight="1">
      <c r="A15" s="125"/>
      <c r="B15" s="46" t="s">
        <v>68</v>
      </c>
      <c r="C15" s="91">
        <v>45279</v>
      </c>
      <c r="D15" s="107">
        <v>45581</v>
      </c>
      <c r="E15" s="74">
        <v>46168</v>
      </c>
      <c r="F15" s="75"/>
      <c r="G15" s="75"/>
      <c r="H15" s="75"/>
      <c r="I15" s="75"/>
      <c r="J15" s="75"/>
      <c r="K15" s="76"/>
    </row>
    <row r="16" spans="1:11" ht="18.75" customHeight="1">
      <c r="A16" s="125"/>
      <c r="B16" s="46" t="s">
        <v>69</v>
      </c>
      <c r="C16" s="88">
        <v>45307</v>
      </c>
      <c r="D16" s="74">
        <v>45583</v>
      </c>
      <c r="E16" s="74">
        <v>46175</v>
      </c>
      <c r="F16" s="75"/>
      <c r="G16" s="75"/>
      <c r="H16" s="75"/>
      <c r="I16" s="75"/>
      <c r="J16" s="75"/>
      <c r="K16" s="76"/>
    </row>
    <row r="17" spans="1:11" ht="18.75" customHeight="1">
      <c r="A17" s="125"/>
      <c r="B17" s="46" t="s">
        <v>70</v>
      </c>
      <c r="C17" s="74">
        <v>45324</v>
      </c>
      <c r="D17" s="74">
        <v>45737</v>
      </c>
      <c r="E17" s="74"/>
      <c r="F17" s="75"/>
      <c r="G17" s="75"/>
      <c r="H17" s="75"/>
      <c r="I17" s="75"/>
      <c r="J17" s="75"/>
      <c r="K17" s="76"/>
    </row>
    <row r="18" spans="1:11" ht="18.75" customHeight="1">
      <c r="A18" s="125"/>
      <c r="B18" s="46" t="s">
        <v>71</v>
      </c>
      <c r="C18" s="78">
        <v>45391</v>
      </c>
      <c r="D18" s="74">
        <v>45762</v>
      </c>
      <c r="E18" s="74"/>
      <c r="F18" s="75"/>
      <c r="G18" s="75"/>
      <c r="H18" s="75"/>
      <c r="I18" s="75"/>
      <c r="J18" s="75"/>
      <c r="K18" s="76"/>
    </row>
    <row r="19" spans="1:11" ht="18.75" customHeight="1">
      <c r="A19" s="125"/>
      <c r="B19" s="46" t="s">
        <v>72</v>
      </c>
      <c r="C19" s="51"/>
      <c r="D19" s="74">
        <v>45772</v>
      </c>
      <c r="E19" s="75"/>
      <c r="F19" s="75"/>
      <c r="G19" s="75"/>
      <c r="H19" s="75"/>
      <c r="I19" s="75"/>
      <c r="J19" s="75"/>
      <c r="K19" s="76"/>
    </row>
    <row r="20" spans="1:11" ht="18.75" customHeight="1">
      <c r="A20" s="125"/>
      <c r="B20" s="46" t="s">
        <v>73</v>
      </c>
      <c r="C20" s="52"/>
      <c r="D20" s="51"/>
      <c r="E20" s="93"/>
      <c r="F20" s="75"/>
      <c r="G20" s="75"/>
      <c r="H20" s="75"/>
      <c r="I20" s="75"/>
      <c r="J20" s="75"/>
      <c r="K20" s="76"/>
    </row>
    <row r="21" spans="1:11" ht="18.75" customHeight="1">
      <c r="A21" s="125"/>
      <c r="B21" s="46" t="s">
        <v>74</v>
      </c>
      <c r="C21" s="52"/>
      <c r="D21" s="52"/>
      <c r="E21" s="94"/>
      <c r="F21" s="75"/>
      <c r="G21" s="75"/>
      <c r="H21" s="75"/>
      <c r="I21" s="75"/>
      <c r="J21" s="75"/>
      <c r="K21" s="76"/>
    </row>
    <row r="22" spans="1:11" ht="18.75" customHeight="1">
      <c r="A22" s="125"/>
      <c r="B22" s="46" t="s">
        <v>75</v>
      </c>
      <c r="C22" s="52"/>
      <c r="D22" s="52"/>
      <c r="E22" s="52"/>
      <c r="F22" s="93"/>
      <c r="G22" s="75"/>
      <c r="H22" s="75"/>
      <c r="I22" s="75"/>
      <c r="J22" s="75"/>
      <c r="K22" s="76"/>
    </row>
    <row r="23" spans="1:11" ht="18.75" customHeight="1">
      <c r="A23" s="125"/>
      <c r="B23" s="46" t="s">
        <v>76</v>
      </c>
      <c r="C23" s="52"/>
      <c r="D23" s="52"/>
      <c r="E23" s="52"/>
      <c r="F23" s="94"/>
      <c r="G23" s="75"/>
      <c r="H23" s="75"/>
      <c r="I23" s="75"/>
      <c r="J23" s="75"/>
      <c r="K23" s="76"/>
    </row>
    <row r="24" spans="1:11" ht="18.75" customHeight="1">
      <c r="A24" s="125"/>
      <c r="B24" s="46" t="s">
        <v>77</v>
      </c>
      <c r="C24" s="52"/>
      <c r="D24" s="52"/>
      <c r="E24" s="52"/>
      <c r="F24" s="52"/>
      <c r="G24" s="93"/>
      <c r="H24" s="75"/>
      <c r="I24" s="75"/>
      <c r="J24" s="75"/>
      <c r="K24" s="76"/>
    </row>
    <row r="25" spans="1:11" ht="18.75" customHeight="1">
      <c r="A25" s="125"/>
      <c r="B25" s="46" t="s">
        <v>78</v>
      </c>
      <c r="C25" s="52"/>
      <c r="D25" s="52"/>
      <c r="E25" s="52"/>
      <c r="F25" s="52"/>
      <c r="G25" s="94"/>
      <c r="H25" s="75"/>
      <c r="I25" s="75"/>
      <c r="J25" s="75"/>
      <c r="K25" s="76"/>
    </row>
    <row r="26" spans="1:11" ht="18.75" customHeight="1">
      <c r="A26" s="125"/>
      <c r="B26" s="46" t="s">
        <v>79</v>
      </c>
      <c r="C26" s="52"/>
      <c r="D26" s="52"/>
      <c r="E26" s="52"/>
      <c r="F26" s="52"/>
      <c r="G26" s="52"/>
      <c r="H26" s="116"/>
      <c r="I26" s="75"/>
      <c r="J26" s="75"/>
      <c r="K26" s="75"/>
    </row>
    <row r="27" spans="1:11" ht="18.75" customHeight="1">
      <c r="A27" s="125"/>
      <c r="B27" s="46" t="s">
        <v>80</v>
      </c>
      <c r="C27" s="52"/>
      <c r="D27" s="52"/>
      <c r="E27" s="52"/>
      <c r="F27" s="52"/>
      <c r="G27" s="52"/>
      <c r="H27" s="94"/>
      <c r="I27" s="75"/>
      <c r="J27" s="75"/>
      <c r="K27" s="75"/>
    </row>
    <row r="28" spans="1:11" ht="18.75" customHeight="1">
      <c r="A28" s="125"/>
      <c r="B28" s="57" t="s">
        <v>81</v>
      </c>
      <c r="C28" s="58"/>
      <c r="D28" s="58"/>
      <c r="E28" s="58"/>
      <c r="F28" s="58"/>
      <c r="G28" s="58"/>
      <c r="H28" s="58"/>
      <c r="I28" s="101"/>
      <c r="J28" s="101"/>
      <c r="K28" s="101"/>
    </row>
    <row r="29" spans="1:11" ht="26.25" customHeight="1">
      <c r="A29" s="126" t="s">
        <v>82</v>
      </c>
      <c r="B29" s="127"/>
      <c r="C29" s="61">
        <f t="shared" ref="C29:K29" si="1">COUNTA(C9:C28)</f>
        <v>10</v>
      </c>
      <c r="D29" s="61">
        <f t="shared" si="1"/>
        <v>11</v>
      </c>
      <c r="E29" s="61">
        <f t="shared" si="1"/>
        <v>8</v>
      </c>
      <c r="F29" s="61">
        <f t="shared" si="1"/>
        <v>0</v>
      </c>
      <c r="G29" s="61">
        <f t="shared" si="1"/>
        <v>0</v>
      </c>
      <c r="H29" s="61">
        <f t="shared" si="1"/>
        <v>0</v>
      </c>
      <c r="I29" s="61">
        <f t="shared" si="1"/>
        <v>0</v>
      </c>
      <c r="J29" s="61">
        <f t="shared" si="1"/>
        <v>0</v>
      </c>
      <c r="K29" s="62">
        <f t="shared" si="1"/>
        <v>0</v>
      </c>
    </row>
    <row r="30" spans="1:11" ht="26.25" customHeight="1">
      <c r="A30" s="128" t="s">
        <v>83</v>
      </c>
      <c r="B30" s="129"/>
      <c r="C30" s="63">
        <f>C8-C29</f>
        <v>0</v>
      </c>
      <c r="D30" s="63">
        <f>D8-D29</f>
        <v>0</v>
      </c>
      <c r="E30" s="63">
        <f>E8-E29</f>
        <v>4</v>
      </c>
      <c r="F30" s="63">
        <f>E30+F8-F29</f>
        <v>18</v>
      </c>
      <c r="G30" s="63">
        <f>F8+G8-G29</f>
        <v>30</v>
      </c>
      <c r="H30" s="63">
        <f>G8+H8-H29</f>
        <v>34</v>
      </c>
      <c r="I30" s="63">
        <f>H8+I8-I29</f>
        <v>38</v>
      </c>
      <c r="J30" s="63">
        <f>I8+J8-J29</f>
        <v>40</v>
      </c>
      <c r="K30" s="63">
        <f>J8+K8-K29</f>
        <v>40</v>
      </c>
    </row>
    <row r="31" spans="1:11" s="65" customFormat="1" ht="18" customHeight="1">
      <c r="A31" s="130" t="s">
        <v>48</v>
      </c>
      <c r="B31" s="131"/>
      <c r="C31" s="66">
        <f t="shared" ref="C31:K31" si="2">C5</f>
        <v>44945</v>
      </c>
      <c r="D31" s="66">
        <f t="shared" si="2"/>
        <v>45310</v>
      </c>
      <c r="E31" s="66">
        <f t="shared" si="2"/>
        <v>45676</v>
      </c>
      <c r="F31" s="66">
        <f t="shared" si="2"/>
        <v>46041</v>
      </c>
      <c r="G31" s="66">
        <f t="shared" si="2"/>
        <v>46406</v>
      </c>
      <c r="H31" s="66">
        <f t="shared" si="2"/>
        <v>46771</v>
      </c>
      <c r="I31" s="66">
        <f t="shared" si="2"/>
        <v>47137</v>
      </c>
      <c r="J31" s="66">
        <f t="shared" si="2"/>
        <v>47502</v>
      </c>
      <c r="K31" s="66">
        <f t="shared" si="2"/>
        <v>47867</v>
      </c>
    </row>
    <row r="32" spans="1:11" s="65" customFormat="1" ht="18" customHeight="1">
      <c r="A32" s="118" t="s">
        <v>49</v>
      </c>
      <c r="B32" s="119"/>
      <c r="C32" s="66">
        <f t="shared" ref="C32:K32" si="3">C6</f>
        <v>45675</v>
      </c>
      <c r="D32" s="66">
        <f t="shared" si="3"/>
        <v>46040</v>
      </c>
      <c r="E32" s="66">
        <f t="shared" si="3"/>
        <v>46405</v>
      </c>
      <c r="F32" s="66">
        <f t="shared" si="3"/>
        <v>46770</v>
      </c>
      <c r="G32" s="66">
        <f t="shared" si="3"/>
        <v>47136</v>
      </c>
      <c r="H32" s="66">
        <f t="shared" si="3"/>
        <v>47501</v>
      </c>
      <c r="I32" s="66">
        <f t="shared" si="3"/>
        <v>47866</v>
      </c>
      <c r="J32" s="66">
        <f t="shared" si="3"/>
        <v>48231</v>
      </c>
      <c r="K32" s="66">
        <f t="shared" si="3"/>
        <v>48597</v>
      </c>
    </row>
    <row r="33" spans="1:11" ht="27" customHeight="1">
      <c r="A33" s="120" t="s">
        <v>84</v>
      </c>
      <c r="B33" s="121"/>
      <c r="C33" s="121"/>
      <c r="D33" s="121"/>
      <c r="E33" s="121"/>
      <c r="F33" s="121"/>
      <c r="G33" s="121"/>
      <c r="H33" s="121"/>
      <c r="I33" s="121"/>
      <c r="J33" s="121"/>
      <c r="K33" s="121"/>
    </row>
  </sheetData>
  <mergeCells count="12">
    <mergeCell ref="B2:C2"/>
    <mergeCell ref="B3:C3"/>
    <mergeCell ref="A5:B5"/>
    <mergeCell ref="A6:B6"/>
    <mergeCell ref="A7:B7"/>
    <mergeCell ref="A32:B32"/>
    <mergeCell ref="A33:K33"/>
    <mergeCell ref="A8:B8"/>
    <mergeCell ref="A9:A28"/>
    <mergeCell ref="A29:B29"/>
    <mergeCell ref="A30:B30"/>
    <mergeCell ref="A31:B31"/>
  </mergeCells>
  <phoneticPr fontId="31"/>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3"/>
  <sheetViews>
    <sheetView zoomScaleNormal="100" workbookViewId="0">
      <selection activeCell="C13" sqref="C13"/>
    </sheetView>
  </sheetViews>
  <sheetFormatPr defaultColWidth="8.125" defaultRowHeight="13.5" customHeight="1"/>
  <cols>
    <col min="1" max="1" width="18.875" style="29" customWidth="1"/>
    <col min="2" max="2" width="6.25" style="30" customWidth="1"/>
    <col min="3" max="11" width="11.25" style="29" customWidth="1"/>
    <col min="12" max="12" width="8.125" style="29" customWidth="1"/>
    <col min="13" max="16384" width="8.125" style="29"/>
  </cols>
  <sheetData>
    <row r="1" spans="1:11" ht="40.5" customHeight="1">
      <c r="A1" s="31" t="s">
        <v>45</v>
      </c>
    </row>
    <row r="2" spans="1:11" ht="19.5" customHeight="1">
      <c r="A2" s="32" t="s">
        <v>46</v>
      </c>
      <c r="B2" s="154" t="s">
        <v>103</v>
      </c>
      <c r="C2" s="133"/>
    </row>
    <row r="3" spans="1:11" ht="21" customHeight="1">
      <c r="A3" s="32" t="s">
        <v>4</v>
      </c>
      <c r="B3" s="134">
        <v>45817</v>
      </c>
      <c r="C3" s="133"/>
    </row>
    <row r="4" spans="1:11" ht="13.9" customHeight="1">
      <c r="A4" s="33"/>
      <c r="B4" s="34"/>
    </row>
    <row r="5" spans="1:11" ht="18.75" customHeight="1">
      <c r="A5" s="135" t="s">
        <v>48</v>
      </c>
      <c r="B5" s="131"/>
      <c r="C5" s="35">
        <f>DATE(YEAR($B$3),MONTH($B$3)+6,DAY($B$3))</f>
        <v>46000</v>
      </c>
      <c r="D5" s="35">
        <f t="shared" ref="D5:K5" si="0">DATE(YEAR(C5)+1,MONTH(C5),DAY(C5))</f>
        <v>46365</v>
      </c>
      <c r="E5" s="35">
        <f t="shared" si="0"/>
        <v>46730</v>
      </c>
      <c r="F5" s="35">
        <f t="shared" si="0"/>
        <v>47096</v>
      </c>
      <c r="G5" s="35">
        <f t="shared" si="0"/>
        <v>47461</v>
      </c>
      <c r="H5" s="35">
        <f t="shared" si="0"/>
        <v>47826</v>
      </c>
      <c r="I5" s="35">
        <f t="shared" si="0"/>
        <v>48191</v>
      </c>
      <c r="J5" s="35">
        <f t="shared" si="0"/>
        <v>48557</v>
      </c>
      <c r="K5" s="35">
        <f t="shared" si="0"/>
        <v>48922</v>
      </c>
    </row>
    <row r="6" spans="1:11" ht="18.75" customHeight="1">
      <c r="A6" s="136" t="s">
        <v>49</v>
      </c>
      <c r="B6" s="119"/>
      <c r="C6" s="36">
        <f>DATE(YEAR($C$5)+2,MONTH($C$5),DAY($C$5)-1)</f>
        <v>46729</v>
      </c>
      <c r="D6" s="36">
        <f>DATE(YEAR($D$5)+2,MONTH($D$5),DAY($D$5)-1)</f>
        <v>47095</v>
      </c>
      <c r="E6" s="36">
        <f>DATE(YEAR($E$5)+2,MONTH($E$5),DAY($E$5)-1)</f>
        <v>47460</v>
      </c>
      <c r="F6" s="36">
        <f>DATE(YEAR($F$5)+2,MONTH($F$5),DAY($F$5)-1)</f>
        <v>47825</v>
      </c>
      <c r="G6" s="36">
        <f>DATE(YEAR($G$5)+2,MONTH($G$5),DAY($G$5)-1)</f>
        <v>48190</v>
      </c>
      <c r="H6" s="36">
        <f>DATE(YEAR($H$5)+2,MONTH($H$5),DAY($H$5)-1)</f>
        <v>48556</v>
      </c>
      <c r="I6" s="36">
        <f>DATE(YEAR($I$5)+2,MONTH($I$5),DAY($I$5)-1)</f>
        <v>48921</v>
      </c>
      <c r="J6" s="36">
        <f>DATE(YEAR($J$5)+2,MONTH($J$5),DAY($J$5)-1)</f>
        <v>49286</v>
      </c>
      <c r="K6" s="37">
        <f>DATE(YEAR($K$5)+2,MONTH($K$5),DAY($K$5)-1)</f>
        <v>49651</v>
      </c>
    </row>
    <row r="7" spans="1:11" ht="18.75" customHeight="1">
      <c r="A7" s="136" t="s">
        <v>50</v>
      </c>
      <c r="B7" s="119"/>
      <c r="C7" s="38" t="s">
        <v>51</v>
      </c>
      <c r="D7" s="38" t="s">
        <v>52</v>
      </c>
      <c r="E7" s="38" t="s">
        <v>53</v>
      </c>
      <c r="F7" s="38" t="s">
        <v>54</v>
      </c>
      <c r="G7" s="38" t="s">
        <v>55</v>
      </c>
      <c r="H7" s="38" t="s">
        <v>56</v>
      </c>
      <c r="I7" s="38" t="s">
        <v>57</v>
      </c>
      <c r="J7" s="38" t="s">
        <v>58</v>
      </c>
      <c r="K7" s="39" t="s">
        <v>59</v>
      </c>
    </row>
    <row r="8" spans="1:11" ht="18.75" customHeight="1">
      <c r="A8" s="122" t="s">
        <v>60</v>
      </c>
      <c r="B8" s="123"/>
      <c r="C8" s="40">
        <v>10</v>
      </c>
      <c r="D8" s="40">
        <v>11</v>
      </c>
      <c r="E8" s="40">
        <v>12</v>
      </c>
      <c r="F8" s="40">
        <v>14</v>
      </c>
      <c r="G8" s="40">
        <v>16</v>
      </c>
      <c r="H8" s="40">
        <v>18</v>
      </c>
      <c r="I8" s="40">
        <v>20</v>
      </c>
      <c r="J8" s="40">
        <v>20</v>
      </c>
      <c r="K8" s="41">
        <v>20</v>
      </c>
    </row>
    <row r="9" spans="1:11" ht="18.75" customHeight="1">
      <c r="A9" s="124" t="s">
        <v>61</v>
      </c>
      <c r="B9" s="42" t="s">
        <v>62</v>
      </c>
      <c r="C9" s="70">
        <v>46069</v>
      </c>
      <c r="D9" s="70"/>
      <c r="E9" s="70"/>
      <c r="F9" s="71"/>
      <c r="G9" s="71"/>
      <c r="H9" s="71"/>
      <c r="I9" s="71"/>
      <c r="J9" s="71"/>
      <c r="K9" s="72"/>
    </row>
    <row r="10" spans="1:11" ht="18.75" customHeight="1">
      <c r="A10" s="125"/>
      <c r="B10" s="46" t="s">
        <v>63</v>
      </c>
      <c r="C10" s="74">
        <v>46083</v>
      </c>
      <c r="D10" s="74"/>
      <c r="E10" s="74"/>
      <c r="F10" s="75"/>
      <c r="G10" s="75"/>
      <c r="H10" s="75"/>
      <c r="I10" s="75"/>
      <c r="J10" s="75"/>
      <c r="K10" s="76"/>
    </row>
    <row r="11" spans="1:11" ht="18.75" customHeight="1">
      <c r="A11" s="125"/>
      <c r="B11" s="46" t="s">
        <v>64</v>
      </c>
      <c r="C11" s="74">
        <v>46104</v>
      </c>
      <c r="D11" s="74"/>
      <c r="E11" s="74"/>
      <c r="F11" s="75"/>
      <c r="G11" s="75"/>
      <c r="H11" s="75"/>
      <c r="I11" s="75"/>
      <c r="J11" s="75"/>
      <c r="K11" s="76"/>
    </row>
    <row r="12" spans="1:11" ht="18.75" customHeight="1">
      <c r="A12" s="125"/>
      <c r="B12" s="46" t="s">
        <v>65</v>
      </c>
      <c r="C12" s="74">
        <v>46133</v>
      </c>
      <c r="D12" s="74"/>
      <c r="E12" s="74"/>
      <c r="F12" s="75"/>
      <c r="G12" s="75"/>
      <c r="H12" s="75"/>
      <c r="I12" s="75"/>
      <c r="J12" s="75"/>
      <c r="K12" s="76"/>
    </row>
    <row r="13" spans="1:11" ht="18.75" customHeight="1">
      <c r="A13" s="125"/>
      <c r="B13" s="46" t="s">
        <v>66</v>
      </c>
      <c r="C13" s="74">
        <v>46162</v>
      </c>
      <c r="D13" s="74"/>
      <c r="E13" s="74"/>
      <c r="F13" s="75"/>
      <c r="G13" s="75"/>
      <c r="H13" s="75"/>
      <c r="I13" s="75"/>
      <c r="J13" s="75"/>
      <c r="K13" s="76"/>
    </row>
    <row r="14" spans="1:11" ht="18.75" customHeight="1">
      <c r="A14" s="125"/>
      <c r="B14" s="46" t="s">
        <v>67</v>
      </c>
      <c r="C14" s="74">
        <v>46163</v>
      </c>
      <c r="D14" s="74"/>
      <c r="E14" s="74"/>
      <c r="F14" s="75"/>
      <c r="G14" s="75"/>
      <c r="H14" s="75"/>
      <c r="I14" s="75"/>
      <c r="J14" s="75"/>
      <c r="K14" s="76"/>
    </row>
    <row r="15" spans="1:11" ht="18.75" customHeight="1">
      <c r="A15" s="125"/>
      <c r="B15" s="46" t="s">
        <v>68</v>
      </c>
      <c r="C15" s="74"/>
      <c r="D15" s="74"/>
      <c r="E15" s="74"/>
      <c r="F15" s="75"/>
      <c r="G15" s="75"/>
      <c r="H15" s="75"/>
      <c r="I15" s="75"/>
      <c r="J15" s="75"/>
      <c r="K15" s="76"/>
    </row>
    <row r="16" spans="1:11" ht="18.75" customHeight="1">
      <c r="A16" s="125"/>
      <c r="B16" s="46" t="s">
        <v>69</v>
      </c>
      <c r="C16" s="74"/>
      <c r="D16" s="74"/>
      <c r="E16" s="74"/>
      <c r="F16" s="75"/>
      <c r="G16" s="75"/>
      <c r="H16" s="75"/>
      <c r="I16" s="75"/>
      <c r="J16" s="75"/>
      <c r="K16" s="76"/>
    </row>
    <row r="17" spans="1:11" ht="18.75" customHeight="1">
      <c r="A17" s="125"/>
      <c r="B17" s="46" t="s">
        <v>70</v>
      </c>
      <c r="C17" s="74"/>
      <c r="D17" s="74"/>
      <c r="E17" s="74"/>
      <c r="F17" s="75"/>
      <c r="G17" s="75"/>
      <c r="H17" s="75"/>
      <c r="I17" s="75"/>
      <c r="J17" s="75"/>
      <c r="K17" s="76"/>
    </row>
    <row r="18" spans="1:11" ht="18.75" customHeight="1">
      <c r="A18" s="125"/>
      <c r="B18" s="46" t="s">
        <v>71</v>
      </c>
      <c r="C18" s="78"/>
      <c r="D18" s="74"/>
      <c r="E18" s="75"/>
      <c r="F18" s="75"/>
      <c r="G18" s="75"/>
      <c r="H18" s="75"/>
      <c r="I18" s="75"/>
      <c r="J18" s="75"/>
      <c r="K18" s="76"/>
    </row>
    <row r="19" spans="1:11" ht="18.75" customHeight="1">
      <c r="A19" s="125"/>
      <c r="B19" s="46" t="s">
        <v>72</v>
      </c>
      <c r="C19" s="51"/>
      <c r="D19" s="78"/>
      <c r="E19" s="75"/>
      <c r="F19" s="75"/>
      <c r="G19" s="75"/>
      <c r="H19" s="75"/>
      <c r="I19" s="75"/>
      <c r="J19" s="75"/>
      <c r="K19" s="76"/>
    </row>
    <row r="20" spans="1:11" ht="18.75" customHeight="1">
      <c r="A20" s="125"/>
      <c r="B20" s="46" t="s">
        <v>73</v>
      </c>
      <c r="C20" s="52"/>
      <c r="D20" s="51"/>
      <c r="E20" s="79"/>
      <c r="F20" s="75"/>
      <c r="G20" s="75"/>
      <c r="H20" s="75"/>
      <c r="I20" s="75"/>
      <c r="J20" s="75"/>
      <c r="K20" s="76"/>
    </row>
    <row r="21" spans="1:11" ht="18.75" customHeight="1">
      <c r="A21" s="125"/>
      <c r="B21" s="46" t="s">
        <v>74</v>
      </c>
      <c r="C21" s="52"/>
      <c r="D21" s="52"/>
      <c r="E21" s="51"/>
      <c r="F21" s="75"/>
      <c r="G21" s="75"/>
      <c r="H21" s="75"/>
      <c r="I21" s="75"/>
      <c r="J21" s="75"/>
      <c r="K21" s="76"/>
    </row>
    <row r="22" spans="1:11" ht="18.75" customHeight="1">
      <c r="A22" s="125"/>
      <c r="B22" s="46" t="s">
        <v>75</v>
      </c>
      <c r="C22" s="52"/>
      <c r="D22" s="52"/>
      <c r="E22" s="52"/>
      <c r="F22" s="79"/>
      <c r="G22" s="75"/>
      <c r="H22" s="75"/>
      <c r="I22" s="75"/>
      <c r="J22" s="75"/>
      <c r="K22" s="76"/>
    </row>
    <row r="23" spans="1:11" ht="18.75" customHeight="1">
      <c r="A23" s="125"/>
      <c r="B23" s="46" t="s">
        <v>76</v>
      </c>
      <c r="C23" s="52"/>
      <c r="D23" s="52"/>
      <c r="E23" s="52"/>
      <c r="F23" s="51"/>
      <c r="G23" s="80"/>
      <c r="H23" s="80"/>
      <c r="I23" s="80"/>
      <c r="J23" s="80"/>
      <c r="K23" s="81"/>
    </row>
    <row r="24" spans="1:11" ht="18.75" customHeight="1">
      <c r="A24" s="125"/>
      <c r="B24" s="46" t="s">
        <v>77</v>
      </c>
      <c r="C24" s="52"/>
      <c r="D24" s="52"/>
      <c r="E24" s="52"/>
      <c r="F24" s="52"/>
      <c r="G24" s="82"/>
      <c r="H24" s="80"/>
      <c r="I24" s="80"/>
      <c r="J24" s="80"/>
      <c r="K24" s="81"/>
    </row>
    <row r="25" spans="1:11" ht="18.75" customHeight="1">
      <c r="A25" s="125"/>
      <c r="B25" s="46" t="s">
        <v>78</v>
      </c>
      <c r="C25" s="52"/>
      <c r="D25" s="52"/>
      <c r="E25" s="52"/>
      <c r="F25" s="52"/>
      <c r="G25" s="51"/>
      <c r="H25" s="80"/>
      <c r="I25" s="80"/>
      <c r="J25" s="80"/>
      <c r="K25" s="81"/>
    </row>
    <row r="26" spans="1:11" ht="18.75" customHeight="1">
      <c r="A26" s="125"/>
      <c r="B26" s="46" t="s">
        <v>79</v>
      </c>
      <c r="C26" s="52"/>
      <c r="D26" s="52"/>
      <c r="E26" s="52"/>
      <c r="F26" s="52"/>
      <c r="G26" s="52"/>
      <c r="H26" s="82"/>
      <c r="I26" s="80"/>
      <c r="J26" s="80"/>
      <c r="K26" s="81"/>
    </row>
    <row r="27" spans="1:11" ht="18.75" customHeight="1">
      <c r="A27" s="125"/>
      <c r="B27" s="46" t="s">
        <v>80</v>
      </c>
      <c r="C27" s="52"/>
      <c r="D27" s="52"/>
      <c r="E27" s="52"/>
      <c r="F27" s="52"/>
      <c r="G27" s="52"/>
      <c r="H27" s="51"/>
      <c r="I27" s="80"/>
      <c r="J27" s="80"/>
      <c r="K27" s="81"/>
    </row>
    <row r="28" spans="1:11" ht="18.75" customHeight="1">
      <c r="A28" s="125"/>
      <c r="B28" s="57" t="s">
        <v>81</v>
      </c>
      <c r="C28" s="58"/>
      <c r="D28" s="58"/>
      <c r="E28" s="58"/>
      <c r="F28" s="58"/>
      <c r="G28" s="58"/>
      <c r="H28" s="58"/>
      <c r="I28" s="83"/>
      <c r="J28" s="83"/>
      <c r="K28" s="84"/>
    </row>
    <row r="29" spans="1:11" ht="26.25" customHeight="1">
      <c r="A29" s="126" t="s">
        <v>82</v>
      </c>
      <c r="B29" s="127"/>
      <c r="C29" s="61">
        <f t="shared" ref="C29:K29" si="1">COUNTA(C9:C28)</f>
        <v>6</v>
      </c>
      <c r="D29" s="61">
        <f t="shared" si="1"/>
        <v>0</v>
      </c>
      <c r="E29" s="61">
        <f t="shared" si="1"/>
        <v>0</v>
      </c>
      <c r="F29" s="61">
        <f t="shared" si="1"/>
        <v>0</v>
      </c>
      <c r="G29" s="61">
        <f t="shared" si="1"/>
        <v>0</v>
      </c>
      <c r="H29" s="61">
        <f t="shared" si="1"/>
        <v>0</v>
      </c>
      <c r="I29" s="61">
        <f t="shared" si="1"/>
        <v>0</v>
      </c>
      <c r="J29" s="61">
        <f t="shared" si="1"/>
        <v>0</v>
      </c>
      <c r="K29" s="62">
        <f t="shared" si="1"/>
        <v>0</v>
      </c>
    </row>
    <row r="30" spans="1:11" ht="26.25" customHeight="1">
      <c r="A30" s="128" t="s">
        <v>83</v>
      </c>
      <c r="B30" s="129"/>
      <c r="C30" s="63">
        <f t="shared" ref="C30:K30" si="2">C8-C29</f>
        <v>4</v>
      </c>
      <c r="D30" s="63">
        <f t="shared" si="2"/>
        <v>11</v>
      </c>
      <c r="E30" s="63">
        <f t="shared" si="2"/>
        <v>12</v>
      </c>
      <c r="F30" s="63">
        <f t="shared" si="2"/>
        <v>14</v>
      </c>
      <c r="G30" s="63">
        <f t="shared" si="2"/>
        <v>16</v>
      </c>
      <c r="H30" s="63">
        <f t="shared" si="2"/>
        <v>18</v>
      </c>
      <c r="I30" s="63">
        <f t="shared" si="2"/>
        <v>20</v>
      </c>
      <c r="J30" s="63">
        <f t="shared" si="2"/>
        <v>20</v>
      </c>
      <c r="K30" s="64">
        <f t="shared" si="2"/>
        <v>20</v>
      </c>
    </row>
    <row r="31" spans="1:11" s="65" customFormat="1" ht="18" customHeight="1">
      <c r="A31" s="130" t="s">
        <v>48</v>
      </c>
      <c r="B31" s="131"/>
      <c r="C31" s="66">
        <f t="shared" ref="C31:K31" si="3">C5</f>
        <v>46000</v>
      </c>
      <c r="D31" s="66">
        <f t="shared" si="3"/>
        <v>46365</v>
      </c>
      <c r="E31" s="66">
        <f t="shared" si="3"/>
        <v>46730</v>
      </c>
      <c r="F31" s="66">
        <f t="shared" si="3"/>
        <v>47096</v>
      </c>
      <c r="G31" s="66">
        <f t="shared" si="3"/>
        <v>47461</v>
      </c>
      <c r="H31" s="66">
        <f t="shared" si="3"/>
        <v>47826</v>
      </c>
      <c r="I31" s="66">
        <f t="shared" si="3"/>
        <v>48191</v>
      </c>
      <c r="J31" s="66">
        <f t="shared" si="3"/>
        <v>48557</v>
      </c>
      <c r="K31" s="66">
        <f t="shared" si="3"/>
        <v>48922</v>
      </c>
    </row>
    <row r="32" spans="1:11" s="65" customFormat="1" ht="18" customHeight="1">
      <c r="A32" s="118" t="s">
        <v>49</v>
      </c>
      <c r="B32" s="119"/>
      <c r="C32" s="66">
        <f t="shared" ref="C32:K32" si="4">C6</f>
        <v>46729</v>
      </c>
      <c r="D32" s="66">
        <f t="shared" si="4"/>
        <v>47095</v>
      </c>
      <c r="E32" s="66">
        <f t="shared" si="4"/>
        <v>47460</v>
      </c>
      <c r="F32" s="66">
        <f t="shared" si="4"/>
        <v>47825</v>
      </c>
      <c r="G32" s="66">
        <f t="shared" si="4"/>
        <v>48190</v>
      </c>
      <c r="H32" s="66">
        <f t="shared" si="4"/>
        <v>48556</v>
      </c>
      <c r="I32" s="66">
        <f t="shared" si="4"/>
        <v>48921</v>
      </c>
      <c r="J32" s="66">
        <f t="shared" si="4"/>
        <v>49286</v>
      </c>
      <c r="K32" s="66">
        <f t="shared" si="4"/>
        <v>49651</v>
      </c>
    </row>
    <row r="33" spans="1:11" ht="27" customHeight="1">
      <c r="A33" s="120" t="s">
        <v>84</v>
      </c>
      <c r="B33" s="121"/>
      <c r="C33" s="121"/>
      <c r="D33" s="121"/>
      <c r="E33" s="121"/>
      <c r="F33" s="121"/>
      <c r="G33" s="121"/>
      <c r="H33" s="121"/>
      <c r="I33" s="121"/>
      <c r="J33" s="121"/>
      <c r="K33" s="121"/>
    </row>
  </sheetData>
  <mergeCells count="12">
    <mergeCell ref="B2:C2"/>
    <mergeCell ref="B3:C3"/>
    <mergeCell ref="A5:B5"/>
    <mergeCell ref="A6:B6"/>
    <mergeCell ref="A7:B7"/>
    <mergeCell ref="A32:B32"/>
    <mergeCell ref="A33:K33"/>
    <mergeCell ref="A8:B8"/>
    <mergeCell ref="A9:A28"/>
    <mergeCell ref="A29:B29"/>
    <mergeCell ref="A30:B30"/>
    <mergeCell ref="A31:B31"/>
  </mergeCells>
  <phoneticPr fontId="3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3"/>
  <sheetViews>
    <sheetView zoomScaleNormal="100" workbookViewId="0">
      <selection activeCell="K23" sqref="K23"/>
    </sheetView>
  </sheetViews>
  <sheetFormatPr defaultColWidth="8.125" defaultRowHeight="13.5" customHeight="1"/>
  <cols>
    <col min="1" max="1" width="18.875" style="29" customWidth="1"/>
    <col min="2" max="2" width="6.25" style="30" customWidth="1"/>
    <col min="3" max="11" width="11.25" style="29" customWidth="1"/>
    <col min="12" max="12" width="8.125" style="29" customWidth="1"/>
    <col min="13" max="16384" width="8.125" style="29"/>
  </cols>
  <sheetData>
    <row r="1" spans="1:11" ht="40.5" customHeight="1">
      <c r="A1" s="31" t="s">
        <v>95</v>
      </c>
    </row>
    <row r="2" spans="1:11" ht="19.5" customHeight="1">
      <c r="A2" s="32" t="s">
        <v>46</v>
      </c>
      <c r="B2" s="154" t="s">
        <v>104</v>
      </c>
      <c r="C2" s="133"/>
    </row>
    <row r="3" spans="1:11" ht="21" customHeight="1">
      <c r="A3" s="32" t="s">
        <v>4</v>
      </c>
      <c r="B3" s="134">
        <v>46027</v>
      </c>
      <c r="C3" s="133"/>
    </row>
    <row r="4" spans="1:11" ht="13.9" customHeight="1">
      <c r="A4" s="33"/>
      <c r="B4" s="34"/>
    </row>
    <row r="5" spans="1:11" ht="18.75" customHeight="1">
      <c r="A5" s="135" t="s">
        <v>48</v>
      </c>
      <c r="B5" s="131"/>
      <c r="C5" s="35">
        <f>DATE(YEAR($B$3),MONTH($B$3)+6,DAY($B$3))</f>
        <v>46208</v>
      </c>
      <c r="D5" s="35">
        <f t="shared" ref="D5:K5" si="0">DATE(YEAR(C5)+1,MONTH(C5),DAY(C5))</f>
        <v>46573</v>
      </c>
      <c r="E5" s="35">
        <f t="shared" si="0"/>
        <v>46939</v>
      </c>
      <c r="F5" s="35">
        <f t="shared" si="0"/>
        <v>47304</v>
      </c>
      <c r="G5" s="35">
        <f t="shared" si="0"/>
        <v>47669</v>
      </c>
      <c r="H5" s="35">
        <f t="shared" si="0"/>
        <v>48034</v>
      </c>
      <c r="I5" s="35">
        <f t="shared" si="0"/>
        <v>48400</v>
      </c>
      <c r="J5" s="35">
        <f t="shared" si="0"/>
        <v>48765</v>
      </c>
      <c r="K5" s="35">
        <f t="shared" si="0"/>
        <v>49130</v>
      </c>
    </row>
    <row r="6" spans="1:11" ht="18.75" customHeight="1">
      <c r="A6" s="136" t="s">
        <v>49</v>
      </c>
      <c r="B6" s="119"/>
      <c r="C6" s="36">
        <f>DATE(YEAR($C$5)+2,MONTH($C$5),DAY($C$5)-1)</f>
        <v>46938</v>
      </c>
      <c r="D6" s="36">
        <f>DATE(YEAR($D$5)+2,MONTH($D$5),DAY($D$5)-1)</f>
        <v>47303</v>
      </c>
      <c r="E6" s="36">
        <f>DATE(YEAR($E$5)+2,MONTH($E$5),DAY($E$5)-1)</f>
        <v>47668</v>
      </c>
      <c r="F6" s="36">
        <f>DATE(YEAR($F$5)+2,MONTH($F$5),DAY($F$5)-1)</f>
        <v>48033</v>
      </c>
      <c r="G6" s="36">
        <f>DATE(YEAR($G$5)+2,MONTH($G$5),DAY($G$5)-1)</f>
        <v>48399</v>
      </c>
      <c r="H6" s="36">
        <f>DATE(YEAR($H$5)+2,MONTH($H$5),DAY($H$5)-1)</f>
        <v>48764</v>
      </c>
      <c r="I6" s="36">
        <f>DATE(YEAR($I$5)+2,MONTH($I$5),DAY($I$5)-1)</f>
        <v>49129</v>
      </c>
      <c r="J6" s="36">
        <f>DATE(YEAR($J$5)+2,MONTH($J$5),DAY($J$5)-1)</f>
        <v>49494</v>
      </c>
      <c r="K6" s="37">
        <f>DATE(YEAR($K$5)+2,MONTH($K$5),DAY($K$5)-1)</f>
        <v>49860</v>
      </c>
    </row>
    <row r="7" spans="1:11" ht="18.75" customHeight="1">
      <c r="A7" s="136" t="s">
        <v>50</v>
      </c>
      <c r="B7" s="119"/>
      <c r="C7" s="38" t="s">
        <v>51</v>
      </c>
      <c r="D7" s="38" t="s">
        <v>52</v>
      </c>
      <c r="E7" s="38" t="s">
        <v>53</v>
      </c>
      <c r="F7" s="38" t="s">
        <v>54</v>
      </c>
      <c r="G7" s="38" t="s">
        <v>55</v>
      </c>
      <c r="H7" s="38" t="s">
        <v>56</v>
      </c>
      <c r="I7" s="38" t="s">
        <v>57</v>
      </c>
      <c r="J7" s="38" t="s">
        <v>58</v>
      </c>
      <c r="K7" s="39" t="s">
        <v>59</v>
      </c>
    </row>
    <row r="8" spans="1:11" ht="18.75" customHeight="1">
      <c r="A8" s="122" t="s">
        <v>60</v>
      </c>
      <c r="B8" s="123"/>
      <c r="C8" s="40">
        <v>10</v>
      </c>
      <c r="D8" s="40">
        <v>11</v>
      </c>
      <c r="E8" s="40">
        <v>12</v>
      </c>
      <c r="F8" s="40">
        <v>14</v>
      </c>
      <c r="G8" s="40">
        <v>16</v>
      </c>
      <c r="H8" s="40">
        <v>18</v>
      </c>
      <c r="I8" s="40">
        <v>20</v>
      </c>
      <c r="J8" s="40">
        <v>20</v>
      </c>
      <c r="K8" s="41">
        <v>20</v>
      </c>
    </row>
    <row r="9" spans="1:11" ht="18.75" customHeight="1">
      <c r="A9" s="124" t="s">
        <v>61</v>
      </c>
      <c r="B9" s="42" t="s">
        <v>62</v>
      </c>
      <c r="C9" s="70"/>
      <c r="D9" s="70"/>
      <c r="E9" s="70"/>
      <c r="F9" s="71"/>
      <c r="G9" s="71"/>
      <c r="H9" s="71"/>
      <c r="I9" s="71"/>
      <c r="J9" s="71"/>
      <c r="K9" s="72"/>
    </row>
    <row r="10" spans="1:11" ht="18.75" customHeight="1">
      <c r="A10" s="125"/>
      <c r="B10" s="46" t="s">
        <v>63</v>
      </c>
      <c r="C10" s="74"/>
      <c r="D10" s="74"/>
      <c r="E10" s="74"/>
      <c r="F10" s="75"/>
      <c r="G10" s="75"/>
      <c r="H10" s="75"/>
      <c r="I10" s="75"/>
      <c r="J10" s="75"/>
      <c r="K10" s="76"/>
    </row>
    <row r="11" spans="1:11" ht="18.75" customHeight="1">
      <c r="A11" s="125"/>
      <c r="B11" s="46" t="s">
        <v>64</v>
      </c>
      <c r="C11" s="74"/>
      <c r="D11" s="74"/>
      <c r="E11" s="74"/>
      <c r="F11" s="75"/>
      <c r="G11" s="75"/>
      <c r="H11" s="75"/>
      <c r="I11" s="75"/>
      <c r="J11" s="75"/>
      <c r="K11" s="76"/>
    </row>
    <row r="12" spans="1:11" ht="18.75" customHeight="1">
      <c r="A12" s="125"/>
      <c r="B12" s="46" t="s">
        <v>65</v>
      </c>
      <c r="C12" s="74"/>
      <c r="D12" s="74"/>
      <c r="E12" s="74"/>
      <c r="F12" s="75"/>
      <c r="G12" s="75"/>
      <c r="H12" s="75"/>
      <c r="I12" s="75"/>
      <c r="J12" s="75"/>
      <c r="K12" s="76"/>
    </row>
    <row r="13" spans="1:11" ht="18.75" customHeight="1">
      <c r="A13" s="125"/>
      <c r="B13" s="46" t="s">
        <v>66</v>
      </c>
      <c r="C13" s="74"/>
      <c r="D13" s="74"/>
      <c r="E13" s="74"/>
      <c r="F13" s="75"/>
      <c r="G13" s="75"/>
      <c r="H13" s="75"/>
      <c r="I13" s="75"/>
      <c r="J13" s="75"/>
      <c r="K13" s="76"/>
    </row>
    <row r="14" spans="1:11" ht="18.75" customHeight="1">
      <c r="A14" s="125"/>
      <c r="B14" s="46" t="s">
        <v>67</v>
      </c>
      <c r="C14" s="74"/>
      <c r="D14" s="74"/>
      <c r="E14" s="74"/>
      <c r="F14" s="75"/>
      <c r="G14" s="75"/>
      <c r="H14" s="75"/>
      <c r="I14" s="75"/>
      <c r="J14" s="75"/>
      <c r="K14" s="76"/>
    </row>
    <row r="15" spans="1:11" ht="18.75" customHeight="1">
      <c r="A15" s="125"/>
      <c r="B15" s="46" t="s">
        <v>68</v>
      </c>
      <c r="C15" s="89"/>
      <c r="D15" s="74"/>
      <c r="E15" s="74"/>
      <c r="F15" s="75"/>
      <c r="G15" s="75"/>
      <c r="H15" s="75"/>
      <c r="I15" s="75"/>
      <c r="J15" s="75"/>
      <c r="K15" s="76"/>
    </row>
    <row r="16" spans="1:11" ht="18.75" customHeight="1">
      <c r="A16" s="125"/>
      <c r="B16" s="46" t="s">
        <v>69</v>
      </c>
      <c r="C16" s="90"/>
      <c r="D16" s="91"/>
      <c r="E16" s="74"/>
      <c r="F16" s="75"/>
      <c r="G16" s="75"/>
      <c r="H16" s="75"/>
      <c r="I16" s="75"/>
      <c r="J16" s="75"/>
      <c r="K16" s="76"/>
    </row>
    <row r="17" spans="1:11" ht="18.75" customHeight="1">
      <c r="A17" s="125"/>
      <c r="B17" s="46" t="s">
        <v>70</v>
      </c>
      <c r="C17" s="74"/>
      <c r="D17" s="92"/>
      <c r="E17" s="91"/>
      <c r="F17" s="75"/>
      <c r="G17" s="75"/>
      <c r="H17" s="75"/>
      <c r="I17" s="75"/>
      <c r="J17" s="75"/>
      <c r="K17" s="76"/>
    </row>
    <row r="18" spans="1:11" ht="18.75" customHeight="1">
      <c r="A18" s="125"/>
      <c r="B18" s="46" t="s">
        <v>71</v>
      </c>
      <c r="C18" s="91"/>
      <c r="D18" s="74"/>
      <c r="E18" s="92"/>
      <c r="F18" s="93"/>
      <c r="G18" s="75"/>
      <c r="H18" s="75"/>
      <c r="I18" s="75"/>
      <c r="J18" s="75"/>
      <c r="K18" s="76"/>
    </row>
    <row r="19" spans="1:11" ht="18.75" customHeight="1">
      <c r="A19" s="125"/>
      <c r="B19" s="46" t="s">
        <v>72</v>
      </c>
      <c r="C19" s="94"/>
      <c r="D19" s="78"/>
      <c r="E19" s="74"/>
      <c r="F19" s="95"/>
      <c r="G19" s="75"/>
      <c r="H19" s="75"/>
      <c r="I19" s="75"/>
      <c r="J19" s="75"/>
      <c r="K19" s="76"/>
    </row>
    <row r="20" spans="1:11" ht="18.75" customHeight="1">
      <c r="A20" s="125"/>
      <c r="B20" s="46" t="s">
        <v>73</v>
      </c>
      <c r="C20" s="52"/>
      <c r="D20" s="51"/>
      <c r="E20" s="91"/>
      <c r="F20" s="75"/>
      <c r="G20" s="93"/>
      <c r="H20" s="75"/>
      <c r="I20" s="75"/>
      <c r="J20" s="75"/>
      <c r="K20" s="76"/>
    </row>
    <row r="21" spans="1:11" ht="18.75" customHeight="1">
      <c r="A21" s="125"/>
      <c r="B21" s="46" t="s">
        <v>74</v>
      </c>
      <c r="C21" s="52"/>
      <c r="D21" s="52"/>
      <c r="E21" s="94"/>
      <c r="F21" s="75"/>
      <c r="G21" s="95"/>
      <c r="H21" s="96"/>
      <c r="I21" s="75"/>
      <c r="J21" s="75"/>
      <c r="K21" s="76"/>
    </row>
    <row r="22" spans="1:11" ht="18.75" customHeight="1">
      <c r="A22" s="125"/>
      <c r="B22" s="46" t="s">
        <v>75</v>
      </c>
      <c r="C22" s="52"/>
      <c r="D22" s="52"/>
      <c r="E22" s="52"/>
      <c r="F22" s="93"/>
      <c r="G22" s="75"/>
      <c r="H22" s="97"/>
      <c r="I22" s="75"/>
      <c r="J22" s="75"/>
      <c r="K22" s="76"/>
    </row>
    <row r="23" spans="1:11" ht="18.75" customHeight="1">
      <c r="A23" s="125"/>
      <c r="B23" s="46" t="s">
        <v>76</v>
      </c>
      <c r="C23" s="52"/>
      <c r="D23" s="52"/>
      <c r="E23" s="52"/>
      <c r="F23" s="94"/>
      <c r="G23" s="75"/>
      <c r="H23" s="75"/>
      <c r="I23" s="83"/>
      <c r="J23" s="98"/>
      <c r="K23" s="98"/>
    </row>
    <row r="24" spans="1:11" ht="18.75" customHeight="1">
      <c r="A24" s="125"/>
      <c r="B24" s="46" t="s">
        <v>77</v>
      </c>
      <c r="C24" s="52"/>
      <c r="D24" s="52"/>
      <c r="E24" s="52"/>
      <c r="F24" s="52"/>
      <c r="G24" s="79"/>
      <c r="H24" s="75"/>
      <c r="I24" s="95"/>
      <c r="J24" s="97"/>
      <c r="K24" s="97"/>
    </row>
    <row r="25" spans="1:11" ht="18.75" customHeight="1">
      <c r="A25" s="125"/>
      <c r="B25" s="46" t="s">
        <v>78</v>
      </c>
      <c r="C25" s="52"/>
      <c r="D25" s="52"/>
      <c r="E25" s="52"/>
      <c r="F25" s="52"/>
      <c r="G25" s="51"/>
      <c r="H25" s="99"/>
      <c r="I25" s="75"/>
      <c r="J25" s="75"/>
      <c r="K25" s="75"/>
    </row>
    <row r="26" spans="1:11" ht="18.75" customHeight="1">
      <c r="A26" s="125"/>
      <c r="B26" s="46" t="s">
        <v>79</v>
      </c>
      <c r="C26" s="52"/>
      <c r="D26" s="52"/>
      <c r="E26" s="52"/>
      <c r="F26" s="52"/>
      <c r="G26" s="52"/>
      <c r="H26" s="117"/>
      <c r="I26" s="75"/>
      <c r="J26" s="75"/>
      <c r="K26" s="75"/>
    </row>
    <row r="27" spans="1:11" ht="18.75" customHeight="1">
      <c r="A27" s="125"/>
      <c r="B27" s="46" t="s">
        <v>80</v>
      </c>
      <c r="C27" s="52"/>
      <c r="D27" s="52"/>
      <c r="E27" s="52"/>
      <c r="F27" s="52"/>
      <c r="G27" s="52"/>
      <c r="H27" s="51"/>
      <c r="I27" s="99"/>
      <c r="J27" s="99"/>
      <c r="K27" s="99"/>
    </row>
    <row r="28" spans="1:11" ht="18.75" customHeight="1">
      <c r="A28" s="125"/>
      <c r="B28" s="57" t="s">
        <v>81</v>
      </c>
      <c r="C28" s="58"/>
      <c r="D28" s="58"/>
      <c r="E28" s="58"/>
      <c r="F28" s="58"/>
      <c r="G28" s="58"/>
      <c r="H28" s="58"/>
      <c r="I28" s="112"/>
      <c r="J28" s="112"/>
      <c r="K28" s="112"/>
    </row>
    <row r="29" spans="1:11" ht="26.25" customHeight="1">
      <c r="A29" s="126" t="s">
        <v>82</v>
      </c>
      <c r="B29" s="127"/>
      <c r="C29" s="61">
        <f t="shared" ref="C29:K29" si="1">COUNTA(C9:C28)</f>
        <v>0</v>
      </c>
      <c r="D29" s="61">
        <f t="shared" si="1"/>
        <v>0</v>
      </c>
      <c r="E29" s="61">
        <f t="shared" si="1"/>
        <v>0</v>
      </c>
      <c r="F29" s="61">
        <f t="shared" si="1"/>
        <v>0</v>
      </c>
      <c r="G29" s="61">
        <f t="shared" si="1"/>
        <v>0</v>
      </c>
      <c r="H29" s="61">
        <f t="shared" si="1"/>
        <v>0</v>
      </c>
      <c r="I29" s="61">
        <f t="shared" si="1"/>
        <v>0</v>
      </c>
      <c r="J29" s="61">
        <f t="shared" si="1"/>
        <v>0</v>
      </c>
      <c r="K29" s="62">
        <f t="shared" si="1"/>
        <v>0</v>
      </c>
    </row>
    <row r="30" spans="1:11" ht="26.25" customHeight="1">
      <c r="A30" s="128" t="s">
        <v>83</v>
      </c>
      <c r="B30" s="129"/>
      <c r="C30" s="63">
        <f>C8-C29</f>
        <v>10</v>
      </c>
      <c r="D30" s="63">
        <f t="shared" ref="D30:K30" si="2">C8+D8-D29</f>
        <v>21</v>
      </c>
      <c r="E30" s="63">
        <f t="shared" si="2"/>
        <v>23</v>
      </c>
      <c r="F30" s="63">
        <f t="shared" si="2"/>
        <v>26</v>
      </c>
      <c r="G30" s="63">
        <f t="shared" si="2"/>
        <v>30</v>
      </c>
      <c r="H30" s="63">
        <f t="shared" si="2"/>
        <v>34</v>
      </c>
      <c r="I30" s="63">
        <f t="shared" si="2"/>
        <v>38</v>
      </c>
      <c r="J30" s="63">
        <f t="shared" si="2"/>
        <v>40</v>
      </c>
      <c r="K30" s="63">
        <f t="shared" si="2"/>
        <v>40</v>
      </c>
    </row>
    <row r="31" spans="1:11" s="65" customFormat="1" ht="18" customHeight="1">
      <c r="A31" s="130" t="s">
        <v>48</v>
      </c>
      <c r="B31" s="131"/>
      <c r="C31" s="66">
        <f t="shared" ref="C31:K31" si="3">C5</f>
        <v>46208</v>
      </c>
      <c r="D31" s="66">
        <f t="shared" si="3"/>
        <v>46573</v>
      </c>
      <c r="E31" s="66">
        <f t="shared" si="3"/>
        <v>46939</v>
      </c>
      <c r="F31" s="66">
        <f t="shared" si="3"/>
        <v>47304</v>
      </c>
      <c r="G31" s="66">
        <f t="shared" si="3"/>
        <v>47669</v>
      </c>
      <c r="H31" s="66">
        <f t="shared" si="3"/>
        <v>48034</v>
      </c>
      <c r="I31" s="66">
        <f t="shared" si="3"/>
        <v>48400</v>
      </c>
      <c r="J31" s="66">
        <f t="shared" si="3"/>
        <v>48765</v>
      </c>
      <c r="K31" s="66">
        <f t="shared" si="3"/>
        <v>49130</v>
      </c>
    </row>
    <row r="32" spans="1:11" s="65" customFormat="1" ht="18" customHeight="1">
      <c r="A32" s="118" t="s">
        <v>49</v>
      </c>
      <c r="B32" s="119"/>
      <c r="C32" s="66">
        <f t="shared" ref="C32:K32" si="4">C6</f>
        <v>46938</v>
      </c>
      <c r="D32" s="66">
        <f t="shared" si="4"/>
        <v>47303</v>
      </c>
      <c r="E32" s="66">
        <f t="shared" si="4"/>
        <v>47668</v>
      </c>
      <c r="F32" s="66">
        <f t="shared" si="4"/>
        <v>48033</v>
      </c>
      <c r="G32" s="66">
        <f t="shared" si="4"/>
        <v>48399</v>
      </c>
      <c r="H32" s="66">
        <f t="shared" si="4"/>
        <v>48764</v>
      </c>
      <c r="I32" s="66">
        <f t="shared" si="4"/>
        <v>49129</v>
      </c>
      <c r="J32" s="66">
        <f t="shared" si="4"/>
        <v>49494</v>
      </c>
      <c r="K32" s="66">
        <f t="shared" si="4"/>
        <v>49860</v>
      </c>
    </row>
    <row r="33" spans="1:11" ht="27" customHeight="1">
      <c r="A33" s="120" t="s">
        <v>84</v>
      </c>
      <c r="B33" s="121"/>
      <c r="C33" s="121"/>
      <c r="D33" s="121"/>
      <c r="E33" s="121"/>
      <c r="F33" s="121"/>
      <c r="G33" s="121"/>
      <c r="H33" s="121"/>
      <c r="I33" s="121"/>
      <c r="J33" s="121"/>
      <c r="K33" s="121"/>
    </row>
  </sheetData>
  <mergeCells count="12">
    <mergeCell ref="B2:C2"/>
    <mergeCell ref="B3:C3"/>
    <mergeCell ref="A5:B5"/>
    <mergeCell ref="A6:B6"/>
    <mergeCell ref="A7:B7"/>
    <mergeCell ref="A32:B32"/>
    <mergeCell ref="A33:K33"/>
    <mergeCell ref="A8:B8"/>
    <mergeCell ref="A9:A28"/>
    <mergeCell ref="A29:B29"/>
    <mergeCell ref="A30:B30"/>
    <mergeCell ref="A31:B31"/>
  </mergeCells>
  <phoneticPr fontId="3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R8.有給一覧</vt:lpstr>
      <vt:lpstr>記入例</vt:lpstr>
      <vt:lpstr>有田</vt:lpstr>
      <vt:lpstr>中原裟也茄</vt:lpstr>
      <vt:lpstr>山田 一光</vt:lpstr>
      <vt:lpstr>中原 宏</vt:lpstr>
      <vt:lpstr>アルフィアン</vt:lpstr>
      <vt:lpstr>ディマス</vt:lpstr>
      <vt:lpstr>ヨザ</vt:lpstr>
      <vt:lpstr>リズキ</vt:lpstr>
      <vt:lpstr>山田</vt:lpstr>
      <vt:lpstr>菊川</vt:lpstr>
      <vt:lpstr>畑野</vt:lpstr>
      <vt:lpstr>濱津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2026-06-04T05:00:18Z</dcterms:created>
  <dcterms:modified xsi:type="dcterms:W3CDTF">2026-06-16T04:35:50Z</dcterms:modified>
</cp:coreProperties>
</file>